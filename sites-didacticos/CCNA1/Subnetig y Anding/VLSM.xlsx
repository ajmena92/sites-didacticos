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sites-didacticos\sites-didacticos\CCNA1\Subnetig y Anding\"/>
    </mc:Choice>
  </mc:AlternateContent>
  <xr:revisionPtr revIDLastSave="0" documentId="8_{F73F18D2-2CB2-4289-8EE3-DF1633E35ECC}" xr6:coauthVersionLast="47" xr6:coauthVersionMax="47" xr10:uidLastSave="{00000000-0000-0000-0000-000000000000}"/>
  <bookViews>
    <workbookView xWindow="-28920" yWindow="-120" windowWidth="29040" windowHeight="15720" activeTab="3" xr2:uid="{3CFC64A4-6F5F-4469-BE34-87A6A12B1A76}"/>
  </bookViews>
  <sheets>
    <sheet name="TABLA SUBNETING" sheetId="1" r:id="rId1"/>
    <sheet name="ANDING" sheetId="2" r:id="rId2"/>
    <sheet name="PROBLEMA #1" sheetId="3" r:id="rId3"/>
    <sheet name="PROBLEMA #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" i="1" l="1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O8" i="2"/>
  <c r="AA18" i="1" l="1"/>
  <c r="AA17" i="1"/>
  <c r="AA16" i="1"/>
  <c r="AA15" i="1"/>
  <c r="AA14" i="1"/>
  <c r="AA13" i="1"/>
  <c r="AA12" i="1"/>
  <c r="AA11" i="1"/>
  <c r="AA10" i="1"/>
  <c r="AA9" i="1"/>
  <c r="AA8" i="1"/>
  <c r="AA7" i="1"/>
  <c r="AA5" i="1"/>
  <c r="AA4" i="1"/>
</calcChain>
</file>

<file path=xl/sharedStrings.xml><?xml version="1.0" encoding="utf-8"?>
<sst xmlns="http://schemas.openxmlformats.org/spreadsheetml/2006/main" count="322" uniqueCount="168">
  <si>
    <t>Cantidad de Host</t>
  </si>
  <si>
    <t>Base 2</t>
  </si>
  <si>
    <t>Potencia</t>
  </si>
  <si>
    <t>VLSM</t>
  </si>
  <si>
    <r>
      <t> (</t>
    </r>
    <r>
      <rPr>
        <b/>
        <i/>
        <sz val="8"/>
        <color rgb="FF202122"/>
        <rFont val="Arial"/>
        <family val="2"/>
      </rPr>
      <t>Variable Length Subnet Mask</t>
    </r>
    <r>
      <rPr>
        <b/>
        <sz val="8"/>
        <color rgb="FF202122"/>
        <rFont val="Arial"/>
        <family val="2"/>
      </rPr>
      <t>)</t>
    </r>
  </si>
  <si>
    <t>2^n-2 &gt;= Host</t>
  </si>
  <si>
    <t>2^0</t>
  </si>
  <si>
    <t>n = Cantidad de bits porcion de host</t>
  </si>
  <si>
    <t>2^1</t>
  </si>
  <si>
    <t>2^2</t>
  </si>
  <si>
    <t>&lt;- Bist IPv4</t>
  </si>
  <si>
    <t>2^3</t>
  </si>
  <si>
    <t xml:space="preserve"> &lt;- Bits porcion de host</t>
  </si>
  <si>
    <t>2^4</t>
  </si>
  <si>
    <t>2^5</t>
  </si>
  <si>
    <t>HOST</t>
  </si>
  <si>
    <t>Red</t>
  </si>
  <si>
    <t>Host</t>
  </si>
  <si>
    <t>D Red</t>
  </si>
  <si>
    <t>Rango de direcciones Utilizables</t>
  </si>
  <si>
    <t>Broadcast</t>
  </si>
  <si>
    <t>Mascara</t>
  </si>
  <si>
    <t>2^6</t>
  </si>
  <si>
    <t>2^7</t>
  </si>
  <si>
    <t>1º Octecto</t>
  </si>
  <si>
    <t>2º Octeto</t>
  </si>
  <si>
    <t>3º Octeto</t>
  </si>
  <si>
    <t>4º octeto</t>
  </si>
  <si>
    <t>Mascaras</t>
  </si>
  <si>
    <t>2^8</t>
  </si>
  <si>
    <t>00000000</t>
  </si>
  <si>
    <t>2^9</t>
  </si>
  <si>
    <t>N MK</t>
  </si>
  <si>
    <t>10000000</t>
  </si>
  <si>
    <t>2^10</t>
  </si>
  <si>
    <t>&lt;- Salto</t>
  </si>
  <si>
    <t>11000000</t>
  </si>
  <si>
    <t>2^11</t>
  </si>
  <si>
    <t>11100000</t>
  </si>
  <si>
    <t>2^12</t>
  </si>
  <si>
    <t>11110000</t>
  </si>
  <si>
    <t>2^13</t>
  </si>
  <si>
    <t>11111000</t>
  </si>
  <si>
    <t>2^14</t>
  </si>
  <si>
    <t>D.BROACAST= DIR RED+SALTO</t>
  </si>
  <si>
    <t>11111100</t>
  </si>
  <si>
    <t>11111110</t>
  </si>
  <si>
    <t>&lt;- Dir. RED</t>
  </si>
  <si>
    <t>11111111</t>
  </si>
  <si>
    <t>+</t>
  </si>
  <si>
    <t>&lt;- Broadcast</t>
  </si>
  <si>
    <t>.</t>
  </si>
  <si>
    <r>
      <t xml:space="preserve">2^8= </t>
    </r>
    <r>
      <rPr>
        <b/>
        <sz val="16"/>
        <color rgb="FFFF0000"/>
        <rFont val="Aptos Narrow"/>
        <family val="2"/>
        <scheme val="minor"/>
      </rPr>
      <t>256</t>
    </r>
  </si>
  <si>
    <t>Cant. Redes= 2^n (2^?=?)
n= Bits de RED</t>
  </si>
  <si>
    <t>RED</t>
  </si>
  <si>
    <t>255.255.248.0</t>
  </si>
  <si>
    <t>32</t>
  </si>
  <si>
    <t>172.30.7.255</t>
  </si>
  <si>
    <t>255.255.252.0</t>
  </si>
  <si>
    <t>172.30.11.255</t>
  </si>
  <si>
    <t>255.255.254.0</t>
  </si>
  <si>
    <t>255.255.255.128</t>
  </si>
  <si>
    <t>255.255.255.240</t>
  </si>
  <si>
    <t>255.255.255.252</t>
  </si>
  <si>
    <t>ANDING</t>
  </si>
  <si>
    <t>averigue , el rango al que pertece esta Ip</t>
  </si>
  <si>
    <t>diga , si es una ip de red, ip de broadcast o ip utilizable?</t>
  </si>
  <si>
    <t>IP</t>
  </si>
  <si>
    <r>
      <rPr>
        <sz val="11"/>
        <color rgb="FFFF0000"/>
        <rFont val="Aptos Narrow"/>
        <family val="2"/>
        <scheme val="minor"/>
      </rPr>
      <t>172</t>
    </r>
    <r>
      <rPr>
        <sz val="11"/>
        <color theme="1"/>
        <rFont val="Aptos Narrow"/>
        <family val="2"/>
        <scheme val="minor"/>
      </rPr>
      <t>.</t>
    </r>
    <r>
      <rPr>
        <sz val="11"/>
        <color rgb="FF0070C0"/>
        <rFont val="Aptos Narrow"/>
        <family val="2"/>
        <scheme val="minor"/>
      </rPr>
      <t>25</t>
    </r>
    <r>
      <rPr>
        <sz val="11"/>
        <color theme="1"/>
        <rFont val="Aptos Narrow"/>
        <family val="2"/>
        <scheme val="minor"/>
      </rPr>
      <t>.154.</t>
    </r>
    <r>
      <rPr>
        <sz val="11"/>
        <color rgb="FF00B050"/>
        <rFont val="Aptos Narrow"/>
        <family val="2"/>
        <scheme val="minor"/>
      </rPr>
      <t>175</t>
    </r>
    <r>
      <rPr>
        <sz val="11"/>
        <color theme="1"/>
        <rFont val="Aptos Narrow"/>
        <family val="2"/>
        <scheme val="minor"/>
      </rPr>
      <t>/22</t>
    </r>
  </si>
  <si>
    <t>Tabla de Conversiones</t>
  </si>
  <si>
    <t>IP BIN.</t>
  </si>
  <si>
    <t>MK BIN.</t>
  </si>
  <si>
    <t>128</t>
  </si>
  <si>
    <t>64</t>
  </si>
  <si>
    <t>16</t>
  </si>
  <si>
    <t>8</t>
  </si>
  <si>
    <t>4</t>
  </si>
  <si>
    <t>2</t>
  </si>
  <si>
    <t>1</t>
  </si>
  <si>
    <t>D. RED</t>
  </si>
  <si>
    <t>240</t>
  </si>
  <si>
    <t>15</t>
  </si>
  <si>
    <t>D. BROADCAST</t>
  </si>
  <si>
    <t>01011111</t>
  </si>
  <si>
    <t>BROAD</t>
  </si>
  <si>
    <t>BIN</t>
  </si>
  <si>
    <t>DEC</t>
  </si>
  <si>
    <r>
      <rPr>
        <sz val="11"/>
        <color rgb="FFFF0000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0000000</t>
    </r>
  </si>
  <si>
    <t>0</t>
  </si>
  <si>
    <r>
      <t xml:space="preserve">8 + 8 + 3 + </t>
    </r>
    <r>
      <rPr>
        <sz val="11"/>
        <color rgb="FF00B050"/>
        <rFont val="Aptos Narrow"/>
        <family val="2"/>
        <scheme val="minor"/>
      </rPr>
      <t>0</t>
    </r>
  </si>
  <si>
    <r>
      <rPr>
        <sz val="11"/>
        <color rgb="FFFF0000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0000000</t>
    </r>
  </si>
  <si>
    <t>red</t>
  </si>
  <si>
    <t>broadcast</t>
  </si>
  <si>
    <t>2^n=Cant Subredes</t>
  </si>
  <si>
    <t>n=Bits de red para subredes</t>
  </si>
  <si>
    <t>Dred</t>
  </si>
  <si>
    <r>
      <rPr>
        <sz val="11"/>
        <color rgb="FFFF0000"/>
        <rFont val="Aptos Narrow"/>
        <family val="2"/>
        <scheme val="minor"/>
      </rPr>
      <t>172.16</t>
    </r>
    <r>
      <rPr>
        <sz val="11"/>
        <color theme="1"/>
        <rFont val="Aptos Narrow"/>
        <family val="2"/>
        <scheme val="minor"/>
      </rPr>
      <t>.10.10/16</t>
    </r>
  </si>
  <si>
    <t>DBroacast</t>
  </si>
  <si>
    <t>172.16.0.0</t>
  </si>
  <si>
    <t>172.16.255.255</t>
  </si>
  <si>
    <t>DRED</t>
  </si>
  <si>
    <t>Dbroacast</t>
  </si>
  <si>
    <t>Cant Subredes?</t>
  </si>
  <si>
    <t>Cant Host?</t>
  </si>
  <si>
    <t>A      /12</t>
  </si>
  <si>
    <t xml:space="preserve">     /18    2^6=64</t>
  </si>
  <si>
    <t>8 + 8 + 8 + 1</t>
  </si>
  <si>
    <r>
      <t xml:space="preserve">8 + 8 + </t>
    </r>
    <r>
      <rPr>
        <sz val="11"/>
        <color rgb="FFFF0000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+ 0</t>
    </r>
  </si>
  <si>
    <t>/25</t>
  </si>
  <si>
    <t>Contabilidad</t>
  </si>
  <si>
    <t>Bufete</t>
  </si>
  <si>
    <r>
      <t>192.168.10.0/</t>
    </r>
    <r>
      <rPr>
        <b/>
        <sz val="16"/>
        <color rgb="FFFF0000"/>
        <rFont val="Aptos Narrow"/>
        <family val="2"/>
        <scheme val="minor"/>
      </rPr>
      <t>25</t>
    </r>
    <r>
      <rPr>
        <b/>
        <sz val="16"/>
        <color theme="1"/>
        <rFont val="Aptos Narrow"/>
        <family val="2"/>
        <scheme val="minor"/>
      </rPr>
      <t xml:space="preserve">  </t>
    </r>
    <r>
      <rPr>
        <b/>
        <sz val="10"/>
        <color theme="1"/>
        <rFont val="Aptos Narrow"/>
        <family val="2"/>
        <scheme val="minor"/>
      </rPr>
      <t>32-24 = 8 bits host</t>
    </r>
  </si>
  <si>
    <t>32 - 6 = /26</t>
  </si>
  <si>
    <r>
      <rPr>
        <b/>
        <sz val="14"/>
        <color rgb="FFFF0000"/>
        <rFont val="Aptos Narrow"/>
        <family val="2"/>
        <scheme val="minor"/>
      </rPr>
      <t>11111111.11111111.11111111.</t>
    </r>
    <r>
      <rPr>
        <b/>
        <sz val="20"/>
        <color theme="8"/>
        <rFont val="Aptos Narrow"/>
        <family val="2"/>
        <scheme val="minor"/>
      </rPr>
      <t>11</t>
    </r>
    <r>
      <rPr>
        <b/>
        <sz val="14"/>
        <color rgb="FF00B050"/>
        <rFont val="Aptos Narrow"/>
        <family val="2"/>
        <scheme val="minor"/>
      </rPr>
      <t>000000</t>
    </r>
  </si>
  <si>
    <t>00 /  01 /  10 / 11</t>
  </si>
  <si>
    <r>
      <rPr>
        <b/>
        <sz val="26"/>
        <color rgb="FF7030A0"/>
        <rFont val="Aptos Narrow"/>
        <family val="2"/>
        <scheme val="minor"/>
      </rPr>
      <t>10</t>
    </r>
    <r>
      <rPr>
        <b/>
        <sz val="26"/>
        <color theme="9"/>
        <rFont val="Aptos Narrow"/>
        <family val="2"/>
        <scheme val="minor"/>
      </rPr>
      <t>000000</t>
    </r>
  </si>
  <si>
    <r>
      <rPr>
        <b/>
        <sz val="26"/>
        <color rgb="FF7030A0"/>
        <rFont val="Aptos Narrow"/>
        <family val="2"/>
        <scheme val="minor"/>
      </rPr>
      <t>00</t>
    </r>
    <r>
      <rPr>
        <b/>
        <sz val="26"/>
        <color theme="9"/>
        <rFont val="Aptos Narrow"/>
        <family val="2"/>
        <scheme val="minor"/>
      </rPr>
      <t>000000</t>
    </r>
  </si>
  <si>
    <r>
      <rPr>
        <b/>
        <sz val="26"/>
        <color rgb="FF7030A0"/>
        <rFont val="Aptos Narrow"/>
        <family val="2"/>
        <scheme val="minor"/>
      </rPr>
      <t>01</t>
    </r>
    <r>
      <rPr>
        <b/>
        <sz val="26"/>
        <color theme="9"/>
        <rFont val="Aptos Narrow"/>
        <family val="2"/>
        <scheme val="minor"/>
      </rPr>
      <t>000000</t>
    </r>
  </si>
  <si>
    <r>
      <rPr>
        <b/>
        <sz val="26"/>
        <color rgb="FF7030A0"/>
        <rFont val="Aptos Narrow"/>
        <family val="2"/>
        <scheme val="minor"/>
      </rPr>
      <t>11</t>
    </r>
    <r>
      <rPr>
        <b/>
        <sz val="26"/>
        <color theme="9"/>
        <rFont val="Aptos Narrow"/>
        <family val="2"/>
        <scheme val="minor"/>
      </rPr>
      <t>000000</t>
    </r>
  </si>
  <si>
    <t>Call Center</t>
  </si>
  <si>
    <t>Fabrica</t>
  </si>
  <si>
    <t>Gerencia</t>
  </si>
  <si>
    <t>Informatica</t>
  </si>
  <si>
    <t>/21</t>
  </si>
  <si>
    <t>172.30.14.255</t>
  </si>
  <si>
    <t>^6-2=62 &gt;=62</t>
  </si>
  <si>
    <t>255.255.255.192</t>
  </si>
  <si>
    <t>255.255.255.224</t>
  </si>
  <si>
    <t xml:space="preserve">Dirección SubRed: 172.30.0.0/21
</t>
  </si>
  <si>
    <r>
      <rPr>
        <b/>
        <sz val="14"/>
        <color rgb="FFFF0000"/>
        <rFont val="Aptos Narrow"/>
        <family val="2"/>
        <scheme val="minor"/>
      </rPr>
      <t>11111111.11111111.11111111.</t>
    </r>
    <r>
      <rPr>
        <b/>
        <sz val="28"/>
        <color theme="8"/>
        <rFont val="Aptos Narrow"/>
        <family val="2"/>
        <scheme val="minor"/>
      </rPr>
      <t>11</t>
    </r>
    <r>
      <rPr>
        <b/>
        <sz val="14"/>
        <color rgb="FF00B050"/>
        <rFont val="Aptos Narrow"/>
        <family val="2"/>
        <scheme val="minor"/>
      </rPr>
      <t>000000</t>
    </r>
  </si>
  <si>
    <t>CyC</t>
  </si>
  <si>
    <t>Administrativos</t>
  </si>
  <si>
    <t>Ingenieria</t>
  </si>
  <si>
    <r>
      <t>Dirección Red: 172.30.0.0/</t>
    </r>
    <r>
      <rPr>
        <b/>
        <sz val="22"/>
        <color rgb="FFFF0000"/>
        <rFont val="Aptos Narrow"/>
        <family val="2"/>
        <scheme val="minor"/>
      </rPr>
      <t>16</t>
    </r>
    <r>
      <rPr>
        <b/>
        <sz val="22"/>
        <color theme="1"/>
        <rFont val="Aptos Narrow"/>
        <family val="2"/>
        <scheme val="minor"/>
      </rPr>
      <t xml:space="preserve">
172.30.255.255</t>
    </r>
  </si>
  <si>
    <r>
      <t>172.30.0.0</t>
    </r>
    <r>
      <rPr>
        <b/>
        <sz val="18"/>
        <rFont val="Aptos Narrow"/>
        <family val="2"/>
        <scheme val="minor"/>
      </rPr>
      <t>/21</t>
    </r>
  </si>
  <si>
    <t>172.30.0.1  -  172.30.7.254</t>
  </si>
  <si>
    <r>
      <t>172.30.8.0</t>
    </r>
    <r>
      <rPr>
        <b/>
        <sz val="18"/>
        <rFont val="Aptos Narrow"/>
        <family val="2"/>
        <scheme val="minor"/>
      </rPr>
      <t>/</t>
    </r>
    <r>
      <rPr>
        <b/>
        <sz val="16"/>
        <rFont val="Aptos Narrow"/>
        <family val="2"/>
        <scheme val="minor"/>
      </rPr>
      <t>22</t>
    </r>
  </si>
  <si>
    <t>172.30.8.1 - 172.30.11.254</t>
  </si>
  <si>
    <r>
      <t>172.30.12.0</t>
    </r>
    <r>
      <rPr>
        <b/>
        <sz val="18"/>
        <rFont val="Aptos Narrow"/>
        <family val="2"/>
        <scheme val="minor"/>
      </rPr>
      <t>/</t>
    </r>
    <r>
      <rPr>
        <b/>
        <sz val="16"/>
        <rFont val="Aptos Narrow"/>
        <family val="2"/>
        <scheme val="minor"/>
      </rPr>
      <t>23</t>
    </r>
  </si>
  <si>
    <t>172.30.12.1  -  172.30.13.254</t>
  </si>
  <si>
    <t xml:space="preserve">172.30.13.255 </t>
  </si>
  <si>
    <r>
      <t>172.30.14.0</t>
    </r>
    <r>
      <rPr>
        <b/>
        <sz val="16"/>
        <rFont val="Aptos Narrow"/>
        <family val="2"/>
        <scheme val="minor"/>
      </rPr>
      <t>/25</t>
    </r>
  </si>
  <si>
    <t>172.30.14.127</t>
  </si>
  <si>
    <t>172.30.14.1  -  172.30.14.126</t>
  </si>
  <si>
    <r>
      <t>172.30.14.128</t>
    </r>
    <r>
      <rPr>
        <b/>
        <sz val="16"/>
        <rFont val="Aptos Narrow"/>
        <family val="2"/>
        <scheme val="minor"/>
      </rPr>
      <t>/26</t>
    </r>
  </si>
  <si>
    <t xml:space="preserve">8 + 8 + 8 + 2  </t>
  </si>
  <si>
    <t>172.30.14.191</t>
  </si>
  <si>
    <t>172.30.14.129 - 172.30.14.190</t>
  </si>
  <si>
    <t xml:space="preserve">^ 5 -2=  30   &gt;= </t>
  </si>
  <si>
    <r>
      <t>172.30.14.192</t>
    </r>
    <r>
      <rPr>
        <b/>
        <sz val="16"/>
        <rFont val="Aptos Narrow"/>
        <family val="2"/>
        <scheme val="minor"/>
      </rPr>
      <t>/27</t>
    </r>
  </si>
  <si>
    <t>172.30.14.223</t>
  </si>
  <si>
    <t>172.30.14.193  - 172.30.14.222</t>
  </si>
  <si>
    <r>
      <t>172.30.14.224</t>
    </r>
    <r>
      <rPr>
        <b/>
        <sz val="18"/>
        <rFont val="Aptos Narrow"/>
        <family val="2"/>
        <scheme val="minor"/>
      </rPr>
      <t>/28</t>
    </r>
  </si>
  <si>
    <t>172.30.14.239</t>
  </si>
  <si>
    <t>172.30.14.225  - 172.30.14.238</t>
  </si>
  <si>
    <t>30</t>
  </si>
  <si>
    <t>172.30.14.240/30</t>
  </si>
  <si>
    <t>172.30.14.241  -  172.30.14.242</t>
  </si>
  <si>
    <t>172.30.14.243</t>
  </si>
  <si>
    <t>172.30.14.245  -  172.30.14.246</t>
  </si>
  <si>
    <t>172.30.14.247</t>
  </si>
  <si>
    <t>172.30.14.244/30</t>
  </si>
  <si>
    <t>172.30.14.252/30</t>
  </si>
  <si>
    <t>172.30.14.248/30</t>
  </si>
  <si>
    <t>172.30.14.249  -  172.30.14.250</t>
  </si>
  <si>
    <t>172.30.14.251</t>
  </si>
  <si>
    <t>172.30.14.253 - 172.30.14.254</t>
  </si>
  <si>
    <t xml:space="preserve">Dirección Red:  10.0.0.0/8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</si>
</sst>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5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6"/>
      <color rgb="FFFF0000"/>
      <name val="Aptos Narrow"/>
      <family val="2"/>
      <scheme val="minor"/>
    </font>
    <font>
      <b/>
      <sz val="8"/>
      <color rgb="FF202122"/>
      <name val="Arial"/>
      <family val="2"/>
    </font>
    <font>
      <b/>
      <i/>
      <sz val="8"/>
      <color rgb="FF202122"/>
      <name val="Arial"/>
      <family val="2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2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sz val="14"/>
      <color theme="8" tint="0.59999389629810485"/>
      <name val="Segoe UI"/>
      <family val="2"/>
    </font>
    <font>
      <b/>
      <sz val="20"/>
      <color theme="8"/>
      <name val="Aptos Narrow"/>
      <family val="2"/>
      <scheme val="minor"/>
    </font>
    <font>
      <b/>
      <sz val="26"/>
      <color theme="9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6"/>
      <color rgb="FF7030A0"/>
      <name val="Aptos Narrow"/>
      <family val="2"/>
      <scheme val="minor"/>
    </font>
    <font>
      <sz val="11"/>
      <color rgb="FFEE0000"/>
      <name val="Aptos Narrow"/>
      <family val="2"/>
      <scheme val="minor"/>
    </font>
    <font>
      <b/>
      <sz val="20"/>
      <color rgb="FFEE0000"/>
      <name val="Aptos Narrow"/>
      <family val="2"/>
      <scheme val="minor"/>
    </font>
    <font>
      <sz val="14"/>
      <name val="Aptos Narrow"/>
      <family val="2"/>
      <scheme val="minor"/>
    </font>
    <font>
      <b/>
      <sz val="16"/>
      <name val="Aptos Narrow"/>
      <family val="2"/>
      <scheme val="minor"/>
    </font>
    <font>
      <b/>
      <sz val="18"/>
      <name val="Aptos Narrow"/>
      <family val="2"/>
      <scheme val="minor"/>
    </font>
    <font>
      <sz val="18"/>
      <color rgb="FFFF0000"/>
      <name val="Aptos Narrow"/>
      <family val="2"/>
      <scheme val="minor"/>
    </font>
    <font>
      <b/>
      <sz val="22"/>
      <color theme="9"/>
      <name val="Aptos Narrow"/>
      <family val="2"/>
      <scheme val="minor"/>
    </font>
    <font>
      <b/>
      <sz val="11"/>
      <name val="Aptos Narrow"/>
      <family val="2"/>
      <scheme val="minor"/>
    </font>
    <font>
      <b/>
      <sz val="28"/>
      <color theme="8"/>
      <name val="Aptos Narrow"/>
      <family val="2"/>
      <scheme val="minor"/>
    </font>
    <font>
      <sz val="22"/>
      <color theme="9"/>
      <name val="Aptos Narrow"/>
      <family val="2"/>
      <scheme val="minor"/>
    </font>
    <font>
      <sz val="22"/>
      <color rgb="FFEE0000"/>
      <name val="Aptos Narrow"/>
      <family val="2"/>
      <scheme val="minor"/>
    </font>
    <font>
      <b/>
      <sz val="16"/>
      <color rgb="FFEE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ck">
        <color theme="2" tint="-0.749992370372631"/>
      </left>
      <right/>
      <top style="thick">
        <color theme="2" tint="-0.749992370372631"/>
      </top>
      <bottom/>
      <diagonal/>
    </border>
    <border>
      <left style="thick">
        <color theme="2" tint="-0.749992370372631"/>
      </left>
      <right style="thick">
        <color theme="2" tint="-0.749992370372631"/>
      </right>
      <top style="thick">
        <color theme="2" tint="-0.749992370372631"/>
      </top>
      <bottom style="thick">
        <color theme="2" tint="-0.749992370372631"/>
      </bottom>
      <diagonal/>
    </border>
    <border>
      <left style="thick">
        <color theme="2" tint="-0.749992370372631"/>
      </left>
      <right/>
      <top/>
      <bottom/>
      <diagonal/>
    </border>
    <border>
      <left style="thick">
        <color theme="2" tint="-0.749992370372631"/>
      </left>
      <right style="thick">
        <color theme="2" tint="-0.749992370372631"/>
      </right>
      <top style="thick">
        <color theme="2" tint="-0.749992370372631"/>
      </top>
      <bottom style="thin">
        <color theme="2" tint="-0.749992370372631"/>
      </bottom>
      <diagonal/>
    </border>
    <border>
      <left style="thick">
        <color theme="2" tint="-0.749992370372631"/>
      </left>
      <right style="thick">
        <color theme="2" tint="-0.749992370372631"/>
      </right>
      <top/>
      <bottom/>
      <diagonal/>
    </border>
    <border>
      <left style="thick">
        <color theme="2" tint="-0.749992370372631"/>
      </left>
      <right style="thick">
        <color theme="2" tint="-0.749992370372631"/>
      </right>
      <top/>
      <bottom style="thin">
        <color theme="2" tint="-0.749992370372631"/>
      </bottom>
      <diagonal/>
    </border>
    <border>
      <left style="thick">
        <color theme="2" tint="-0.749992370372631"/>
      </left>
      <right style="thick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ck">
        <color theme="2" tint="-0.749992370372631"/>
      </left>
      <right style="thick">
        <color theme="2" tint="-0.749992370372631"/>
      </right>
      <top style="thin">
        <color theme="2" tint="-0.749992370372631"/>
      </top>
      <bottom/>
      <diagonal/>
    </border>
    <border>
      <left style="thick">
        <color theme="2" tint="-0.749992370372631"/>
      </left>
      <right/>
      <top/>
      <bottom style="thick">
        <color theme="2" tint="-0.749992370372631"/>
      </bottom>
      <diagonal/>
    </border>
    <border>
      <left style="thick">
        <color theme="2" tint="-0.749992370372631"/>
      </left>
      <right style="thick">
        <color theme="2" tint="-0.749992370372631"/>
      </right>
      <top/>
      <bottom style="thick">
        <color theme="2" tint="-0.749992370372631"/>
      </bottom>
      <diagonal/>
    </border>
    <border>
      <left style="thick">
        <color theme="2" tint="-0.749992370372631"/>
      </left>
      <right style="thick">
        <color theme="2" tint="-0.749992370372631"/>
      </right>
      <top style="thin">
        <color theme="2" tint="-0.749992370372631"/>
      </top>
      <bottom style="thick">
        <color theme="2" tint="-0.749992370372631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8">
    <xf numFmtId="0" fontId="0" fillId="0" borderId="0" xfId="0"/>
    <xf numFmtId="0" fontId="3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4" fillId="3" borderId="0" xfId="0" applyFont="1" applyFill="1" applyAlignment="1">
      <alignment horizontal="center" vertical="center"/>
    </xf>
    <xf numFmtId="0" fontId="5" fillId="2" borderId="4" xfId="0" applyFont="1" applyFill="1" applyBorder="1"/>
    <xf numFmtId="0" fontId="6" fillId="4" borderId="0" xfId="0" applyFont="1" applyFill="1"/>
    <xf numFmtId="0" fontId="6" fillId="4" borderId="5" xfId="0" applyFont="1" applyFill="1" applyBorder="1"/>
    <xf numFmtId="0" fontId="7" fillId="0" borderId="0" xfId="0" applyFont="1"/>
    <xf numFmtId="0" fontId="8" fillId="0" borderId="6" xfId="0" applyFont="1" applyBorder="1"/>
    <xf numFmtId="0" fontId="9" fillId="0" borderId="0" xfId="0" applyFont="1"/>
    <xf numFmtId="0" fontId="11" fillId="5" borderId="4" xfId="0" applyFont="1" applyFill="1" applyBorder="1"/>
    <xf numFmtId="0" fontId="6" fillId="4" borderId="5" xfId="0" applyFont="1" applyFill="1" applyBorder="1" applyAlignment="1">
      <alignment horizontal="left"/>
    </xf>
    <xf numFmtId="0" fontId="6" fillId="4" borderId="0" xfId="0" applyFont="1" applyFill="1" applyAlignment="1">
      <alignment horizontal="left"/>
    </xf>
    <xf numFmtId="0" fontId="13" fillId="0" borderId="0" xfId="0" applyFont="1"/>
    <xf numFmtId="0" fontId="14" fillId="2" borderId="9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3" fillId="6" borderId="16" xfId="0" applyFont="1" applyFill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0" fontId="16" fillId="0" borderId="17" xfId="0" applyFont="1" applyBorder="1"/>
    <xf numFmtId="0" fontId="16" fillId="0" borderId="18" xfId="0" applyFont="1" applyBorder="1" applyAlignment="1">
      <alignment horizontal="center"/>
    </xf>
    <xf numFmtId="3" fontId="16" fillId="0" borderId="18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16" fillId="0" borderId="17" xfId="0" applyFont="1" applyBorder="1" applyAlignment="1">
      <alignment horizontal="center"/>
    </xf>
    <xf numFmtId="0" fontId="18" fillId="0" borderId="19" xfId="0" applyFont="1" applyBorder="1"/>
    <xf numFmtId="0" fontId="18" fillId="7" borderId="20" xfId="0" applyFont="1" applyFill="1" applyBorder="1"/>
    <xf numFmtId="0" fontId="18" fillId="8" borderId="20" xfId="0" applyFont="1" applyFill="1" applyBorder="1"/>
    <xf numFmtId="0" fontId="18" fillId="2" borderId="20" xfId="0" applyFont="1" applyFill="1" applyBorder="1"/>
    <xf numFmtId="0" fontId="18" fillId="9" borderId="20" xfId="0" applyFont="1" applyFill="1" applyBorder="1"/>
    <xf numFmtId="0" fontId="5" fillId="0" borderId="0" xfId="0" applyFont="1"/>
    <xf numFmtId="49" fontId="7" fillId="0" borderId="21" xfId="0" applyNumberFormat="1" applyFont="1" applyBorder="1"/>
    <xf numFmtId="0" fontId="16" fillId="2" borderId="16" xfId="0" applyFont="1" applyFill="1" applyBorder="1" applyAlignment="1">
      <alignment horizontal="center"/>
    </xf>
    <xf numFmtId="49" fontId="5" fillId="4" borderId="16" xfId="0" applyNumberFormat="1" applyFont="1" applyFill="1" applyBorder="1"/>
    <xf numFmtId="1" fontId="7" fillId="7" borderId="24" xfId="0" applyNumberFormat="1" applyFont="1" applyFill="1" applyBorder="1" applyAlignment="1">
      <alignment horizontal="right" vertical="center"/>
    </xf>
    <xf numFmtId="1" fontId="7" fillId="8" borderId="25" xfId="0" applyNumberFormat="1" applyFont="1" applyFill="1" applyBorder="1" applyAlignment="1">
      <alignment horizontal="right" vertical="center"/>
    </xf>
    <xf numFmtId="1" fontId="7" fillId="2" borderId="25" xfId="0" applyNumberFormat="1" applyFont="1" applyFill="1" applyBorder="1" applyAlignment="1">
      <alignment horizontal="right" vertical="center"/>
    </xf>
    <xf numFmtId="1" fontId="7" fillId="9" borderId="26" xfId="0" applyNumberFormat="1" applyFont="1" applyFill="1" applyBorder="1" applyAlignment="1">
      <alignment horizontal="right" vertical="center"/>
    </xf>
    <xf numFmtId="3" fontId="16" fillId="0" borderId="17" xfId="0" applyNumberFormat="1" applyFont="1" applyBorder="1" applyAlignment="1">
      <alignment horizontal="left"/>
    </xf>
    <xf numFmtId="1" fontId="7" fillId="8" borderId="23" xfId="0" applyNumberFormat="1" applyFont="1" applyFill="1" applyBorder="1" applyAlignment="1">
      <alignment horizontal="right" vertical="center"/>
    </xf>
    <xf numFmtId="0" fontId="21" fillId="11" borderId="0" xfId="0" applyFont="1" applyFill="1"/>
    <xf numFmtId="49" fontId="7" fillId="0" borderId="27" xfId="0" applyNumberFormat="1" applyFont="1" applyBorder="1"/>
    <xf numFmtId="0" fontId="22" fillId="0" borderId="0" xfId="0" applyFont="1" applyAlignment="1">
      <alignment horizontal="left"/>
    </xf>
    <xf numFmtId="0" fontId="16" fillId="0" borderId="17" xfId="0" applyFont="1" applyBorder="1" applyAlignment="1">
      <alignment horizontal="left"/>
    </xf>
    <xf numFmtId="0" fontId="3" fillId="12" borderId="0" xfId="0" applyFont="1" applyFill="1" applyAlignment="1">
      <alignment vertical="center"/>
    </xf>
    <xf numFmtId="0" fontId="6" fillId="0" borderId="0" xfId="0" applyFont="1"/>
    <xf numFmtId="0" fontId="23" fillId="0" borderId="31" xfId="0" applyFont="1" applyBorder="1" applyAlignment="1">
      <alignment horizontal="right"/>
    </xf>
    <xf numFmtId="0" fontId="24" fillId="0" borderId="32" xfId="0" applyFont="1" applyBorder="1"/>
    <xf numFmtId="0" fontId="3" fillId="11" borderId="0" xfId="0" applyFont="1" applyFill="1" applyAlignment="1">
      <alignment vertical="center"/>
    </xf>
    <xf numFmtId="0" fontId="25" fillId="0" borderId="0" xfId="0" applyFont="1"/>
    <xf numFmtId="0" fontId="16" fillId="0" borderId="33" xfId="0" applyFont="1" applyBorder="1" applyAlignment="1">
      <alignment horizontal="left"/>
    </xf>
    <xf numFmtId="3" fontId="16" fillId="0" borderId="33" xfId="0" applyNumberFormat="1" applyFont="1" applyBorder="1" applyAlignment="1">
      <alignment horizontal="left"/>
    </xf>
    <xf numFmtId="0" fontId="26" fillId="0" borderId="0" xfId="0" applyFont="1"/>
    <xf numFmtId="0" fontId="3" fillId="13" borderId="0" xfId="0" applyFont="1" applyFill="1" applyAlignment="1">
      <alignment vertical="center"/>
    </xf>
    <xf numFmtId="49" fontId="0" fillId="0" borderId="0" xfId="0" applyNumberFormat="1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32" fillId="0" borderId="0" xfId="0" applyFont="1"/>
    <xf numFmtId="0" fontId="1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8" fillId="0" borderId="0" xfId="0" applyFont="1"/>
    <xf numFmtId="49" fontId="2" fillId="0" borderId="0" xfId="0" applyNumberFormat="1" applyFont="1"/>
    <xf numFmtId="0" fontId="38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2" borderId="0" xfId="0" applyFont="1" applyFill="1"/>
    <xf numFmtId="0" fontId="7" fillId="0" borderId="5" xfId="0" applyFont="1" applyBorder="1"/>
    <xf numFmtId="0" fontId="7" fillId="0" borderId="39" xfId="0" applyFont="1" applyBorder="1"/>
    <xf numFmtId="0" fontId="7" fillId="0" borderId="4" xfId="0" applyFont="1" applyBorder="1"/>
    <xf numFmtId="0" fontId="39" fillId="5" borderId="0" xfId="0" applyFont="1" applyFill="1"/>
    <xf numFmtId="3" fontId="0" fillId="0" borderId="0" xfId="0" applyNumberFormat="1" applyAlignment="1">
      <alignment horizontal="left"/>
    </xf>
    <xf numFmtId="49" fontId="3" fillId="14" borderId="0" xfId="0" applyNumberFormat="1" applyFont="1" applyFill="1"/>
    <xf numFmtId="49" fontId="0" fillId="14" borderId="0" xfId="0" applyNumberFormat="1" applyFill="1"/>
    <xf numFmtId="0" fontId="3" fillId="14" borderId="0" xfId="0" applyFont="1" applyFill="1"/>
    <xf numFmtId="49" fontId="0" fillId="0" borderId="0" xfId="0" applyNumberFormat="1" applyAlignment="1">
      <alignment horizontal="right"/>
    </xf>
    <xf numFmtId="0" fontId="2" fillId="0" borderId="0" xfId="0" applyFont="1"/>
    <xf numFmtId="49" fontId="44" fillId="0" borderId="0" xfId="0" applyNumberFormat="1" applyFont="1"/>
    <xf numFmtId="0" fontId="46" fillId="0" borderId="0" xfId="0" applyFont="1"/>
    <xf numFmtId="0" fontId="43" fillId="0" borderId="0" xfId="0" applyFont="1"/>
    <xf numFmtId="0" fontId="47" fillId="0" borderId="0" xfId="0" applyFont="1"/>
    <xf numFmtId="0" fontId="43" fillId="0" borderId="0" xfId="0" applyFont="1" applyAlignment="1">
      <alignment horizontal="right"/>
    </xf>
    <xf numFmtId="0" fontId="0" fillId="0" borderId="16" xfId="0" applyBorder="1" applyAlignment="1">
      <alignment horizontal="left"/>
    </xf>
    <xf numFmtId="0" fontId="22" fillId="0" borderId="17" xfId="0" applyFont="1" applyBorder="1" applyAlignment="1">
      <alignment horizontal="left"/>
    </xf>
    <xf numFmtId="0" fontId="42" fillId="0" borderId="0" xfId="0" applyFont="1"/>
    <xf numFmtId="1" fontId="20" fillId="7" borderId="22" xfId="0" applyNumberFormat="1" applyFont="1" applyFill="1" applyBorder="1" applyAlignment="1">
      <alignment horizontal="right" vertical="center"/>
    </xf>
    <xf numFmtId="1" fontId="20" fillId="8" borderId="22" xfId="0" applyNumberFormat="1" applyFont="1" applyFill="1" applyBorder="1" applyAlignment="1">
      <alignment horizontal="right" vertical="center"/>
    </xf>
    <xf numFmtId="1" fontId="20" fillId="2" borderId="23" xfId="0" applyNumberFormat="1" applyFont="1" applyFill="1" applyBorder="1" applyAlignment="1">
      <alignment horizontal="right" vertical="center"/>
    </xf>
    <xf numFmtId="1" fontId="20" fillId="9" borderId="23" xfId="0" applyNumberFormat="1" applyFont="1" applyFill="1" applyBorder="1" applyAlignment="1">
      <alignment horizontal="right" vertical="center"/>
    </xf>
    <xf numFmtId="1" fontId="7" fillId="7" borderId="28" xfId="0" applyNumberFormat="1" applyFont="1" applyFill="1" applyBorder="1" applyAlignment="1">
      <alignment horizontal="right" vertical="center"/>
    </xf>
    <xf numFmtId="1" fontId="7" fillId="8" borderId="29" xfId="0" applyNumberFormat="1" applyFont="1" applyFill="1" applyBorder="1" applyAlignment="1">
      <alignment horizontal="right" vertical="center"/>
    </xf>
    <xf numFmtId="1" fontId="7" fillId="2" borderId="29" xfId="0" applyNumberFormat="1" applyFont="1" applyFill="1" applyBorder="1" applyAlignment="1">
      <alignment horizontal="right" vertical="center"/>
    </xf>
    <xf numFmtId="1" fontId="7" fillId="9" borderId="29" xfId="0" applyNumberFormat="1" applyFont="1" applyFill="1" applyBorder="1" applyAlignment="1">
      <alignment horizontal="right" vertical="center"/>
    </xf>
    <xf numFmtId="0" fontId="48" fillId="0" borderId="17" xfId="0" applyFont="1" applyBorder="1"/>
    <xf numFmtId="0" fontId="11" fillId="15" borderId="16" xfId="0" applyFont="1" applyFill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51" fillId="0" borderId="0" xfId="0" applyFont="1" applyAlignment="1">
      <alignment horizontal="right"/>
    </xf>
    <xf numFmtId="0" fontId="52" fillId="0" borderId="0" xfId="0" applyFont="1"/>
    <xf numFmtId="49" fontId="53" fillId="0" borderId="0" xfId="0" applyNumberFormat="1" applyFont="1" applyAlignment="1">
      <alignment horizontal="right"/>
    </xf>
    <xf numFmtId="0" fontId="18" fillId="0" borderId="16" xfId="0" applyFont="1" applyBorder="1" applyAlignment="1">
      <alignment horizontal="left"/>
    </xf>
    <xf numFmtId="0" fontId="18" fillId="14" borderId="16" xfId="0" applyFont="1" applyFill="1" applyBorder="1" applyAlignment="1">
      <alignment horizontal="left"/>
    </xf>
    <xf numFmtId="49" fontId="15" fillId="0" borderId="0" xfId="0" applyNumberFormat="1" applyFont="1" applyAlignment="1">
      <alignment horizontal="right"/>
    </xf>
    <xf numFmtId="49" fontId="55" fillId="0" borderId="0" xfId="0" applyNumberFormat="1" applyFont="1" applyAlignment="1">
      <alignment horizontal="right"/>
    </xf>
    <xf numFmtId="49" fontId="56" fillId="0" borderId="0" xfId="0" applyNumberFormat="1" applyFont="1" applyAlignment="1">
      <alignment horizontal="right"/>
    </xf>
    <xf numFmtId="0" fontId="19" fillId="0" borderId="16" xfId="0" applyFont="1" applyBorder="1" applyAlignment="1">
      <alignment horizontal="left"/>
    </xf>
    <xf numFmtId="0" fontId="57" fillId="0" borderId="16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2" fillId="0" borderId="7" xfId="1" applyNumberFormat="1" applyFont="1" applyBorder="1" applyAlignment="1">
      <alignment horizontal="center" vertical="center" wrapText="1"/>
    </xf>
    <xf numFmtId="49" fontId="12" fillId="0" borderId="8" xfId="1" applyNumberFormat="1" applyFont="1" applyBorder="1" applyAlignment="1">
      <alignment horizontal="center" vertical="center"/>
    </xf>
    <xf numFmtId="49" fontId="12" fillId="0" borderId="12" xfId="1" applyNumberFormat="1" applyFont="1" applyBorder="1" applyAlignment="1">
      <alignment horizontal="center" vertical="center"/>
    </xf>
    <xf numFmtId="49" fontId="12" fillId="0" borderId="13" xfId="1" applyNumberFormat="1" applyFont="1" applyBorder="1" applyAlignment="1">
      <alignment horizontal="center" vertical="center"/>
    </xf>
    <xf numFmtId="49" fontId="12" fillId="0" borderId="14" xfId="1" applyNumberFormat="1" applyFont="1" applyBorder="1" applyAlignment="1">
      <alignment horizontal="center" vertical="center"/>
    </xf>
    <xf numFmtId="49" fontId="12" fillId="0" borderId="15" xfId="1" applyNumberFormat="1" applyFont="1" applyBorder="1" applyAlignment="1">
      <alignment horizontal="center" vertical="center"/>
    </xf>
    <xf numFmtId="0" fontId="19" fillId="10" borderId="10" xfId="0" applyFont="1" applyFill="1" applyBorder="1" applyAlignment="1">
      <alignment horizontal="center"/>
    </xf>
    <xf numFmtId="0" fontId="20" fillId="0" borderId="30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49" fontId="53" fillId="0" borderId="0" xfId="0" applyNumberFormat="1" applyFont="1" applyAlignment="1">
      <alignment horizontal="right"/>
    </xf>
    <xf numFmtId="49" fontId="53" fillId="0" borderId="5" xfId="0" applyNumberFormat="1" applyFont="1" applyBorder="1" applyAlignment="1">
      <alignment horizontal="right"/>
    </xf>
    <xf numFmtId="0" fontId="32" fillId="0" borderId="37" xfId="0" applyFont="1" applyBorder="1" applyAlignment="1">
      <alignment horizontal="left"/>
    </xf>
    <xf numFmtId="0" fontId="32" fillId="0" borderId="38" xfId="0" applyFont="1" applyBorder="1" applyAlignment="1">
      <alignment horizontal="left"/>
    </xf>
    <xf numFmtId="0" fontId="31" fillId="6" borderId="34" xfId="0" applyFont="1" applyFill="1" applyBorder="1" applyAlignment="1">
      <alignment horizontal="center" wrapText="1"/>
    </xf>
    <xf numFmtId="0" fontId="0" fillId="6" borderId="35" xfId="0" applyFill="1" applyBorder="1" applyAlignment="1">
      <alignment horizontal="center" wrapText="1"/>
    </xf>
    <xf numFmtId="0" fontId="0" fillId="6" borderId="36" xfId="0" applyFill="1" applyBorder="1" applyAlignment="1">
      <alignment horizontal="center" wrapText="1"/>
    </xf>
    <xf numFmtId="0" fontId="37" fillId="0" borderId="0" xfId="0" applyFont="1" applyAlignment="1">
      <alignment horizontal="center"/>
    </xf>
    <xf numFmtId="49" fontId="0" fillId="8" borderId="0" xfId="0" applyNumberFormat="1" applyFill="1" applyAlignment="1">
      <alignment horizontal="center"/>
    </xf>
    <xf numFmtId="49" fontId="0" fillId="9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Millares" xfId="1" builtinId="3"/>
    <cellStyle name="Normal" xfId="0" builtinId="0"/>
  </cellStyles>
  <dxfs count="53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</font>
      <border diagonalUp="0" diagonalDown="0">
        <left style="thin">
          <color auto="1"/>
        </left>
        <right/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14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14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14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14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14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14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14"/>
      </font>
      <border diagonalUp="0" diagonalDown="0">
        <left/>
        <right style="thin">
          <color auto="1"/>
        </right>
        <top/>
        <bottom/>
        <vertical style="thin">
          <color auto="1"/>
        </vertical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RED</a:t>
            </a:r>
            <a:r>
              <a:rPr lang="es-CR" baseline="0"/>
              <a:t> 256 Dir. IP</a:t>
            </a: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9A-405B-92D0-E7FCB0CBAF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9A-405B-92D0-E7FCB0CBAF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9A-405B-92D0-E7FCB0CBAF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9A-405B-92D0-E7FCB0CBAF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9A-405B-92D0-E7FCB0CBAF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29A-405B-92D0-E7FCB0CBAF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 SUBNETING'!$C$37:$D$42</c:f>
              <c:strCache>
                <c:ptCount val="1"/>
                <c:pt idx="0">
                  <c:v>Contabilidad</c:v>
                </c:pt>
              </c:strCache>
            </c:strRef>
          </c:cat>
          <c:val>
            <c:numRef>
              <c:f>'TABLA SUBNETING'!$E$37:$E$42</c:f>
              <c:numCache>
                <c:formatCode>General</c:formatCode>
                <c:ptCount val="6"/>
                <c:pt idx="0">
                  <c:v>64000</c:v>
                </c:pt>
                <c:pt idx="1">
                  <c:v>2048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29A-405B-92D0-E7FCB0CBA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RED</a:t>
            </a:r>
            <a:r>
              <a:rPr lang="es-CR" baseline="0"/>
              <a:t> 256 Dir. IP</a:t>
            </a: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AA-4A5E-BC03-AF4D441923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AA-4A5E-BC03-AF4D441923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AA-4A5E-BC03-AF4D441923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AA-4A5E-BC03-AF4D441923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AA-4A5E-BC03-AF4D441923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3AA-4A5E-BC03-AF4D441923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'PROBLEMA #1'!$C$37:$D$42</c:f>
              <c:strCache>
                <c:ptCount val="2"/>
                <c:pt idx="0">
                  <c:v>Contabilidad</c:v>
                </c:pt>
                <c:pt idx="1">
                  <c:v>Bufete</c:v>
                </c:pt>
              </c:strCache>
            </c:strRef>
          </c:cat>
          <c:val>
            <c:numRef>
              <c:f>'PROBLEMA #1'!$E$37:$E$42</c:f>
              <c:numCache>
                <c:formatCode>General</c:formatCode>
                <c:ptCount val="6"/>
                <c:pt idx="0">
                  <c:v>62000</c:v>
                </c:pt>
                <c:pt idx="1">
                  <c:v>2048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3AA-4A5E-BC03-AF4D44192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RED</a:t>
            </a:r>
            <a:r>
              <a:rPr lang="es-CR" baseline="0"/>
              <a:t> 256 Dir. IP</a:t>
            </a: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4A-4EFF-88A6-FC40A26D59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4A-4EFF-88A6-FC40A26D59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4A-4EFF-88A6-FC40A26D59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54A-4EFF-88A6-FC40A26D59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54A-4EFF-88A6-FC40A26D59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54A-4EFF-88A6-FC40A26D59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'PROBLEMA #2'!$C$37:$D$42</c:f>
              <c:strCache>
                <c:ptCount val="2"/>
                <c:pt idx="0">
                  <c:v>Contabilidad</c:v>
                </c:pt>
                <c:pt idx="1">
                  <c:v>Bufete</c:v>
                </c:pt>
              </c:strCache>
            </c:strRef>
          </c:cat>
          <c:val>
            <c:numRef>
              <c:f>'PROBLEMA #2'!$E$37:$E$42</c:f>
              <c:numCache>
                <c:formatCode>General</c:formatCode>
                <c:ptCount val="6"/>
                <c:pt idx="0">
                  <c:v>62000</c:v>
                </c:pt>
                <c:pt idx="1">
                  <c:v>2048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54A-4EFF-88A6-FC40A26D5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27809</xdr:colOff>
      <xdr:row>26</xdr:row>
      <xdr:rowOff>16130</xdr:rowOff>
    </xdr:from>
    <xdr:to>
      <xdr:col>9</xdr:col>
      <xdr:colOff>289225</xdr:colOff>
      <xdr:row>44</xdr:row>
      <xdr:rowOff>177985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4A2694A8-2982-409F-9F24-E417B9924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1656255</xdr:colOff>
      <xdr:row>4</xdr:row>
      <xdr:rowOff>129926</xdr:rowOff>
    </xdr:from>
    <xdr:to>
      <xdr:col>4</xdr:col>
      <xdr:colOff>1656255</xdr:colOff>
      <xdr:row>12</xdr:row>
      <xdr:rowOff>10378</xdr:rowOff>
    </xdr:to>
    <xdr:cxnSp macro="">
      <xdr:nvCxnSpPr>
        <xdr:cNvPr id="2" name="Conector recto 2">
          <a:extLst>
            <a:ext uri="{FF2B5EF4-FFF2-40B4-BE49-F238E27FC236}">
              <a16:creationId xmlns:a16="http://schemas.microsoft.com/office/drawing/2014/main" id="{C6550E0F-4C1F-41DC-A65B-F4772A064147}"/>
            </a:ext>
          </a:extLst>
        </xdr:cNvPr>
        <xdr:cNvCxnSpPr/>
      </xdr:nvCxnSpPr>
      <xdr:spPr>
        <a:xfrm>
          <a:off x="5279565" y="905261"/>
          <a:ext cx="0" cy="16025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1290708</xdr:colOff>
      <xdr:row>1</xdr:row>
      <xdr:rowOff>75867</xdr:rowOff>
    </xdr:from>
    <xdr:to>
      <xdr:col>4</xdr:col>
      <xdr:colOff>1612494</xdr:colOff>
      <xdr:row>3</xdr:row>
      <xdr:rowOff>81337</xdr:rowOff>
    </xdr:to>
    <xdr:cxnSp macro="">
      <xdr:nvCxnSpPr>
        <xdr:cNvPr id="3" name="Conector recto de flecha 4">
          <a:extLst>
            <a:ext uri="{FF2B5EF4-FFF2-40B4-BE49-F238E27FC236}">
              <a16:creationId xmlns:a16="http://schemas.microsoft.com/office/drawing/2014/main" id="{45874D39-8A92-4B18-ABC2-FCE43C8B2E71}"/>
            </a:ext>
          </a:extLst>
        </xdr:cNvPr>
        <xdr:cNvCxnSpPr/>
      </xdr:nvCxnSpPr>
      <xdr:spPr>
        <a:xfrm>
          <a:off x="4908303" y="304467"/>
          <a:ext cx="327501" cy="369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2677778</xdr:colOff>
      <xdr:row>8</xdr:row>
      <xdr:rowOff>148216</xdr:rowOff>
    </xdr:from>
    <xdr:to>
      <xdr:col>5</xdr:col>
      <xdr:colOff>785273</xdr:colOff>
      <xdr:row>8</xdr:row>
      <xdr:rowOff>148216</xdr:rowOff>
    </xdr:to>
    <xdr:cxnSp macro="">
      <xdr:nvCxnSpPr>
        <xdr:cNvPr id="4" name="Conector recto 6">
          <a:extLst>
            <a:ext uri="{FF2B5EF4-FFF2-40B4-BE49-F238E27FC236}">
              <a16:creationId xmlns:a16="http://schemas.microsoft.com/office/drawing/2014/main" id="{244DAFF2-294B-4A4F-8CE6-D1EBDE6707DF}"/>
            </a:ext>
          </a:extLst>
        </xdr:cNvPr>
        <xdr:cNvCxnSpPr/>
      </xdr:nvCxnSpPr>
      <xdr:spPr>
        <a:xfrm>
          <a:off x="6299183" y="1898911"/>
          <a:ext cx="94023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2295211</xdr:colOff>
      <xdr:row>10</xdr:row>
      <xdr:rowOff>35328</xdr:rowOff>
    </xdr:from>
    <xdr:to>
      <xdr:col>5</xdr:col>
      <xdr:colOff>402706</xdr:colOff>
      <xdr:row>10</xdr:row>
      <xdr:rowOff>35328</xdr:rowOff>
    </xdr:to>
    <xdr:cxnSp macro="">
      <xdr:nvCxnSpPr>
        <xdr:cNvPr id="5" name="Conector recto 7">
          <a:extLst>
            <a:ext uri="{FF2B5EF4-FFF2-40B4-BE49-F238E27FC236}">
              <a16:creationId xmlns:a16="http://schemas.microsoft.com/office/drawing/2014/main" id="{9EB19A29-C61C-491A-AF52-536246781C05}"/>
            </a:ext>
          </a:extLst>
        </xdr:cNvPr>
        <xdr:cNvCxnSpPr/>
      </xdr:nvCxnSpPr>
      <xdr:spPr>
        <a:xfrm>
          <a:off x="5916616" y="2149878"/>
          <a:ext cx="94023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3346787</xdr:colOff>
      <xdr:row>11</xdr:row>
      <xdr:rowOff>1137</xdr:rowOff>
    </xdr:from>
    <xdr:to>
      <xdr:col>5</xdr:col>
      <xdr:colOff>3366631</xdr:colOff>
      <xdr:row>16</xdr:row>
      <xdr:rowOff>123168</xdr:rowOff>
    </xdr:to>
    <xdr:cxnSp macro="">
      <xdr:nvCxnSpPr>
        <xdr:cNvPr id="6" name="Conector recto 9">
          <a:extLst>
            <a:ext uri="{FF2B5EF4-FFF2-40B4-BE49-F238E27FC236}">
              <a16:creationId xmlns:a16="http://schemas.microsoft.com/office/drawing/2014/main" id="{F186029E-FF40-41F0-841C-55F9A5E3290D}"/>
            </a:ext>
          </a:extLst>
        </xdr:cNvPr>
        <xdr:cNvCxnSpPr/>
      </xdr:nvCxnSpPr>
      <xdr:spPr>
        <a:xfrm>
          <a:off x="9802832" y="2315712"/>
          <a:ext cx="25559" cy="102881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3266660</xdr:colOff>
      <xdr:row>23</xdr:row>
      <xdr:rowOff>31507</xdr:rowOff>
    </xdr:from>
    <xdr:to>
      <xdr:col>5</xdr:col>
      <xdr:colOff>3270629</xdr:colOff>
      <xdr:row>27</xdr:row>
      <xdr:rowOff>35476</xdr:rowOff>
    </xdr:to>
    <xdr:cxnSp macro="">
      <xdr:nvCxnSpPr>
        <xdr:cNvPr id="7" name="Conector recto 15">
          <a:extLst>
            <a:ext uri="{FF2B5EF4-FFF2-40B4-BE49-F238E27FC236}">
              <a16:creationId xmlns:a16="http://schemas.microsoft.com/office/drawing/2014/main" id="{D59431F1-7D6A-4E3E-BAEA-65238CE6F5B7}"/>
            </a:ext>
          </a:extLst>
        </xdr:cNvPr>
        <xdr:cNvCxnSpPr/>
      </xdr:nvCxnSpPr>
      <xdr:spPr>
        <a:xfrm>
          <a:off x="9722705" y="4515877"/>
          <a:ext cx="3969" cy="7297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3376889</xdr:colOff>
      <xdr:row>28</xdr:row>
      <xdr:rowOff>1988</xdr:rowOff>
    </xdr:from>
    <xdr:to>
      <xdr:col>5</xdr:col>
      <xdr:colOff>3377206</xdr:colOff>
      <xdr:row>33</xdr:row>
      <xdr:rowOff>101158</xdr:rowOff>
    </xdr:to>
    <xdr:cxnSp macro="">
      <xdr:nvCxnSpPr>
        <xdr:cNvPr id="8" name="Conector recto 17">
          <a:extLst>
            <a:ext uri="{FF2B5EF4-FFF2-40B4-BE49-F238E27FC236}">
              <a16:creationId xmlns:a16="http://schemas.microsoft.com/office/drawing/2014/main" id="{1E3307C1-E5A2-40DC-86F2-28C9840534AB}"/>
            </a:ext>
          </a:extLst>
        </xdr:cNvPr>
        <xdr:cNvCxnSpPr/>
      </xdr:nvCxnSpPr>
      <xdr:spPr>
        <a:xfrm>
          <a:off x="9831029" y="5393138"/>
          <a:ext cx="317" cy="10002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1285875</xdr:colOff>
      <xdr:row>40</xdr:row>
      <xdr:rowOff>11906</xdr:rowOff>
    </xdr:from>
    <xdr:to>
      <xdr:col>4</xdr:col>
      <xdr:colOff>1416843</xdr:colOff>
      <xdr:row>41</xdr:row>
      <xdr:rowOff>63500</xdr:rowOff>
    </xdr:to>
    <xdr:cxnSp macro="">
      <xdr:nvCxnSpPr>
        <xdr:cNvPr id="9" name="Conector recto de flecha 19">
          <a:extLst>
            <a:ext uri="{FF2B5EF4-FFF2-40B4-BE49-F238E27FC236}">
              <a16:creationId xmlns:a16="http://schemas.microsoft.com/office/drawing/2014/main" id="{C6279452-5FD0-478F-AE4B-BF40790BBC7E}"/>
            </a:ext>
          </a:extLst>
        </xdr:cNvPr>
        <xdr:cNvCxnSpPr/>
      </xdr:nvCxnSpPr>
      <xdr:spPr>
        <a:xfrm>
          <a:off x="4903470" y="7578566"/>
          <a:ext cx="134778" cy="2249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1750218</xdr:colOff>
      <xdr:row>40</xdr:row>
      <xdr:rowOff>11906</xdr:rowOff>
    </xdr:from>
    <xdr:to>
      <xdr:col>4</xdr:col>
      <xdr:colOff>2047875</xdr:colOff>
      <xdr:row>41</xdr:row>
      <xdr:rowOff>59531</xdr:rowOff>
    </xdr:to>
    <xdr:cxnSp macro="">
      <xdr:nvCxnSpPr>
        <xdr:cNvPr id="10" name="Conector recto de flecha 21">
          <a:extLst>
            <a:ext uri="{FF2B5EF4-FFF2-40B4-BE49-F238E27FC236}">
              <a16:creationId xmlns:a16="http://schemas.microsoft.com/office/drawing/2014/main" id="{534C6C35-3CEE-49F9-B2FE-B165A63C7184}"/>
            </a:ext>
          </a:extLst>
        </xdr:cNvPr>
        <xdr:cNvCxnSpPr/>
      </xdr:nvCxnSpPr>
      <xdr:spPr>
        <a:xfrm flipH="1">
          <a:off x="5369718" y="7578566"/>
          <a:ext cx="295752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74108</xdr:colOff>
      <xdr:row>6</xdr:row>
      <xdr:rowOff>192511</xdr:rowOff>
    </xdr:from>
    <xdr:to>
      <xdr:col>4</xdr:col>
      <xdr:colOff>2619211</xdr:colOff>
      <xdr:row>6</xdr:row>
      <xdr:rowOff>202620</xdr:rowOff>
    </xdr:to>
    <xdr:cxnSp macro="">
      <xdr:nvCxnSpPr>
        <xdr:cNvPr id="11" name="Conector recto 11">
          <a:extLst>
            <a:ext uri="{FF2B5EF4-FFF2-40B4-BE49-F238E27FC236}">
              <a16:creationId xmlns:a16="http://schemas.microsoft.com/office/drawing/2014/main" id="{701CE003-11B3-4394-8801-2A7E058B43C3}"/>
            </a:ext>
          </a:extLst>
        </xdr:cNvPr>
        <xdr:cNvCxnSpPr/>
      </xdr:nvCxnSpPr>
      <xdr:spPr>
        <a:xfrm>
          <a:off x="3693608" y="1459336"/>
          <a:ext cx="2543198" cy="139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3454676</xdr:colOff>
      <xdr:row>16</xdr:row>
      <xdr:rowOff>48535</xdr:rowOff>
    </xdr:from>
    <xdr:to>
      <xdr:col>5</xdr:col>
      <xdr:colOff>3479333</xdr:colOff>
      <xdr:row>22</xdr:row>
      <xdr:rowOff>155351</xdr:rowOff>
    </xdr:to>
    <xdr:cxnSp macro="">
      <xdr:nvCxnSpPr>
        <xdr:cNvPr id="12" name="Conector recto 13">
          <a:extLst>
            <a:ext uri="{FF2B5EF4-FFF2-40B4-BE49-F238E27FC236}">
              <a16:creationId xmlns:a16="http://schemas.microsoft.com/office/drawing/2014/main" id="{A1A9CE9B-17FB-46F6-9696-275755896949}"/>
            </a:ext>
          </a:extLst>
        </xdr:cNvPr>
        <xdr:cNvCxnSpPr/>
      </xdr:nvCxnSpPr>
      <xdr:spPr>
        <a:xfrm>
          <a:off x="9908816" y="3269890"/>
          <a:ext cx="32277" cy="11907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4168</xdr:colOff>
      <xdr:row>8</xdr:row>
      <xdr:rowOff>221630</xdr:rowOff>
    </xdr:from>
    <xdr:to>
      <xdr:col>4</xdr:col>
      <xdr:colOff>2551176</xdr:colOff>
      <xdr:row>9</xdr:row>
      <xdr:rowOff>3048</xdr:rowOff>
    </xdr:to>
    <xdr:cxnSp macro="">
      <xdr:nvCxnSpPr>
        <xdr:cNvPr id="13" name="Conector recto 14">
          <a:extLst>
            <a:ext uri="{FF2B5EF4-FFF2-40B4-BE49-F238E27FC236}">
              <a16:creationId xmlns:a16="http://schemas.microsoft.com/office/drawing/2014/main" id="{60664113-53FA-4949-9657-8800CB13D623}"/>
            </a:ext>
          </a:extLst>
        </xdr:cNvPr>
        <xdr:cNvCxnSpPr/>
      </xdr:nvCxnSpPr>
      <xdr:spPr>
        <a:xfrm>
          <a:off x="3625573" y="1934225"/>
          <a:ext cx="2545103" cy="23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2677778</xdr:colOff>
      <xdr:row>10</xdr:row>
      <xdr:rowOff>148216</xdr:rowOff>
    </xdr:from>
    <xdr:to>
      <xdr:col>5</xdr:col>
      <xdr:colOff>785273</xdr:colOff>
      <xdr:row>10</xdr:row>
      <xdr:rowOff>148216</xdr:rowOff>
    </xdr:to>
    <xdr:cxnSp macro="">
      <xdr:nvCxnSpPr>
        <xdr:cNvPr id="14" name="Conector recto 16">
          <a:extLst>
            <a:ext uri="{FF2B5EF4-FFF2-40B4-BE49-F238E27FC236}">
              <a16:creationId xmlns:a16="http://schemas.microsoft.com/office/drawing/2014/main" id="{28192B8B-AB06-4580-931C-9AC438FF20B1}"/>
            </a:ext>
          </a:extLst>
        </xdr:cNvPr>
        <xdr:cNvCxnSpPr/>
      </xdr:nvCxnSpPr>
      <xdr:spPr>
        <a:xfrm>
          <a:off x="6299183" y="2260861"/>
          <a:ext cx="94023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996279</xdr:colOff>
      <xdr:row>14</xdr:row>
      <xdr:rowOff>15860</xdr:rowOff>
    </xdr:from>
    <xdr:to>
      <xdr:col>4</xdr:col>
      <xdr:colOff>996279</xdr:colOff>
      <xdr:row>18</xdr:row>
      <xdr:rowOff>155093</xdr:rowOff>
    </xdr:to>
    <xdr:cxnSp macro="">
      <xdr:nvCxnSpPr>
        <xdr:cNvPr id="15" name="Conector recto 18">
          <a:extLst>
            <a:ext uri="{FF2B5EF4-FFF2-40B4-BE49-F238E27FC236}">
              <a16:creationId xmlns:a16="http://schemas.microsoft.com/office/drawing/2014/main" id="{863552CF-EF64-4345-91FD-41E37966C1AB}"/>
            </a:ext>
          </a:extLst>
        </xdr:cNvPr>
        <xdr:cNvCxnSpPr/>
      </xdr:nvCxnSpPr>
      <xdr:spPr>
        <a:xfrm flipH="1">
          <a:off x="4617684" y="2877170"/>
          <a:ext cx="0" cy="85932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655342</xdr:colOff>
      <xdr:row>19</xdr:row>
      <xdr:rowOff>18210</xdr:rowOff>
    </xdr:from>
    <xdr:to>
      <xdr:col>4</xdr:col>
      <xdr:colOff>655342</xdr:colOff>
      <xdr:row>23</xdr:row>
      <xdr:rowOff>174997</xdr:rowOff>
    </xdr:to>
    <xdr:cxnSp macro="">
      <xdr:nvCxnSpPr>
        <xdr:cNvPr id="16" name="Conector recto 20">
          <a:extLst>
            <a:ext uri="{FF2B5EF4-FFF2-40B4-BE49-F238E27FC236}">
              <a16:creationId xmlns:a16="http://schemas.microsoft.com/office/drawing/2014/main" id="{485C199A-2337-49AC-BD1A-B550077F6B95}"/>
            </a:ext>
          </a:extLst>
        </xdr:cNvPr>
        <xdr:cNvCxnSpPr/>
      </xdr:nvCxnSpPr>
      <xdr:spPr>
        <a:xfrm flipH="1">
          <a:off x="4276747" y="3784395"/>
          <a:ext cx="0" cy="8730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544138</xdr:colOff>
      <xdr:row>24</xdr:row>
      <xdr:rowOff>86404</xdr:rowOff>
    </xdr:from>
    <xdr:to>
      <xdr:col>4</xdr:col>
      <xdr:colOff>549807</xdr:colOff>
      <xdr:row>29</xdr:row>
      <xdr:rowOff>38917</xdr:rowOff>
    </xdr:to>
    <xdr:cxnSp macro="">
      <xdr:nvCxnSpPr>
        <xdr:cNvPr id="17" name="Conector recto 22">
          <a:extLst>
            <a:ext uri="{FF2B5EF4-FFF2-40B4-BE49-F238E27FC236}">
              <a16:creationId xmlns:a16="http://schemas.microsoft.com/office/drawing/2014/main" id="{0B6B64AE-E8E3-4D7B-8381-26F6AE4A12F4}"/>
            </a:ext>
          </a:extLst>
        </xdr:cNvPr>
        <xdr:cNvCxnSpPr/>
      </xdr:nvCxnSpPr>
      <xdr:spPr>
        <a:xfrm flipH="1">
          <a:off x="4163638" y="4785404"/>
          <a:ext cx="5669" cy="8653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4168</xdr:colOff>
      <xdr:row>8</xdr:row>
      <xdr:rowOff>221630</xdr:rowOff>
    </xdr:from>
    <xdr:to>
      <xdr:col>4</xdr:col>
      <xdr:colOff>2551176</xdr:colOff>
      <xdr:row>9</xdr:row>
      <xdr:rowOff>3048</xdr:rowOff>
    </xdr:to>
    <xdr:cxnSp macro="">
      <xdr:nvCxnSpPr>
        <xdr:cNvPr id="18" name="Conector recto 11">
          <a:extLst>
            <a:ext uri="{FF2B5EF4-FFF2-40B4-BE49-F238E27FC236}">
              <a16:creationId xmlns:a16="http://schemas.microsoft.com/office/drawing/2014/main" id="{B23A3F7D-A703-4030-846F-8E233B192529}"/>
            </a:ext>
          </a:extLst>
        </xdr:cNvPr>
        <xdr:cNvCxnSpPr/>
      </xdr:nvCxnSpPr>
      <xdr:spPr>
        <a:xfrm>
          <a:off x="3625573" y="1934225"/>
          <a:ext cx="2545103" cy="23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521498</xdr:colOff>
      <xdr:row>29</xdr:row>
      <xdr:rowOff>130968</xdr:rowOff>
    </xdr:from>
    <xdr:to>
      <xdr:col>4</xdr:col>
      <xdr:colOff>521498</xdr:colOff>
      <xdr:row>34</xdr:row>
      <xdr:rowOff>96817</xdr:rowOff>
    </xdr:to>
    <xdr:cxnSp macro="">
      <xdr:nvCxnSpPr>
        <xdr:cNvPr id="19" name="Conector recto 22">
          <a:extLst>
            <a:ext uri="{FF2B5EF4-FFF2-40B4-BE49-F238E27FC236}">
              <a16:creationId xmlns:a16="http://schemas.microsoft.com/office/drawing/2014/main" id="{8C0DDE59-E781-4904-8B67-744881B0D505}"/>
            </a:ext>
          </a:extLst>
        </xdr:cNvPr>
        <xdr:cNvCxnSpPr/>
      </xdr:nvCxnSpPr>
      <xdr:spPr>
        <a:xfrm flipH="1">
          <a:off x="4140998" y="5742781"/>
          <a:ext cx="0" cy="8786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27809</xdr:colOff>
      <xdr:row>26</xdr:row>
      <xdr:rowOff>16130</xdr:rowOff>
    </xdr:from>
    <xdr:to>
      <xdr:col>9</xdr:col>
      <xdr:colOff>289225</xdr:colOff>
      <xdr:row>44</xdr:row>
      <xdr:rowOff>177985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B1F5E4B5-9A92-40E2-B8E8-C1E977122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27809</xdr:colOff>
      <xdr:row>26</xdr:row>
      <xdr:rowOff>16130</xdr:rowOff>
    </xdr:from>
    <xdr:to>
      <xdr:col>9</xdr:col>
      <xdr:colOff>289225</xdr:colOff>
      <xdr:row>44</xdr:row>
      <xdr:rowOff>177985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1291524E-E9B1-4C35-8F73-0EC4707C5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EF9421-1C99-46B6-8F95-21FFE67ADBE7}" name="Tabla1" displayName="Tabla1" ref="F10:J23" totalsRowShown="0" headerRowDxfId="52" dataDxfId="51">
  <autoFilter ref="F10:J23" xr:uid="{42F48318-35A3-4F30-959F-F25FBDAB7F28}"/>
  <tableColumns count="5">
    <tableColumn id="1" xr3:uid="{C0CD02E5-99D1-405A-B5CA-4C51653DF96D}" name="Host" dataDxfId="50"/>
    <tableColumn id="2" xr3:uid="{92CD93F0-D2C2-46B2-9C8F-75AF4BEDBF5E}" name="D Red" dataDxfId="49"/>
    <tableColumn id="3" xr3:uid="{A54EA4C7-9116-4E75-BB70-74A88A6972B9}" name="Rango de direcciones Utilizables" dataDxfId="48"/>
    <tableColumn id="4" xr3:uid="{F3E51612-A874-4E72-B0CA-56DAF48AA5C1}" name="Broadcast" dataDxfId="47"/>
    <tableColumn id="5" xr3:uid="{7EE144AA-58CA-430B-A6AF-530AA3A8F911}" name="Mascara" dataDxfId="4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97C3C7-5D39-4367-BB00-FEFD5A27C4F2}" name="Table2" displayName="Table2" ref="E10:E23" totalsRowShown="0" headerRowDxfId="45" dataDxfId="44">
  <autoFilter ref="E10:E23" xr:uid="{0348E778-2866-423C-9DCA-F023AF5C46A4}"/>
  <tableColumns count="1">
    <tableColumn id="1" xr3:uid="{0647EA2B-A0DF-48EC-8E27-3FAEE42162FB}" name="Red" dataDxf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C0F8BD-9980-4565-89E2-549569878838}" name="Table387" displayName="Table387" ref="Z3:AA18" totalsRowShown="0" headerRowDxfId="42" dataDxfId="41">
  <autoFilter ref="Z3:AA18" xr:uid="{B25363A7-1859-455C-85AA-6756553AC97A}"/>
  <tableColumns count="2">
    <tableColumn id="1" xr3:uid="{33254D0F-C6EC-45A9-8633-FA9E5EBDC7AB}" name="Base 2" dataDxfId="40"/>
    <tableColumn id="2" xr3:uid="{40EBC634-DF82-421C-BB12-CDCC65B6B158}" name="Potencia" dataDxfId="39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2F01A3-01C2-40EB-A7D2-D1B5FDF8428A}" name="Table51056" displayName="Table51056" ref="G7:N8" totalsRowShown="0" headerRowDxfId="38" dataDxfId="37" tableBorderDxfId="36">
  <autoFilter ref="G7:N8" xr:uid="{7F492DCA-9C48-4401-93FD-41DF7F00F99B}"/>
  <tableColumns count="8">
    <tableColumn id="1" xr3:uid="{276CFCA8-BCB6-4523-BCD0-A43F2C3C9BB6}" name="128" dataDxfId="35"/>
    <tableColumn id="2" xr3:uid="{CF5FF9BE-DEA5-4253-B0D7-2AFD39BC97B1}" name="64" dataDxfId="34"/>
    <tableColumn id="3" xr3:uid="{78787413-DF69-4ADD-97DE-4968C451E21F}" name="32" dataDxfId="33"/>
    <tableColumn id="4" xr3:uid="{25252B7E-8AA6-4E69-8AE3-860AFBA7B78B}" name="16" dataDxfId="32"/>
    <tableColumn id="5" xr3:uid="{1586BFA9-0A9E-4D46-8159-49BC76D7747D}" name="8" dataDxfId="31"/>
    <tableColumn id="6" xr3:uid="{52E70203-2E13-4280-BF24-BD0F927393BC}" name="4" dataDxfId="30"/>
    <tableColumn id="7" xr3:uid="{AEA5F6DB-50EC-4F58-AD5C-6409696113EB}" name="2" dataDxfId="29"/>
    <tableColumn id="8" xr3:uid="{744C0056-814B-4174-9E2C-9BF8E656A9D7}" name="1" dataDxfId="2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3B65AD-E207-437A-B118-FDA92BDF36A3}" name="Tabla16" displayName="Tabla16" ref="F10:J23" totalsRowShown="0" headerRowDxfId="27" dataDxfId="26">
  <autoFilter ref="F10:J23" xr:uid="{42F48318-35A3-4F30-959F-F25FBDAB7F28}"/>
  <tableColumns count="5">
    <tableColumn id="1" xr3:uid="{2EE27C9E-DA5B-4B1C-AC48-446676305C5D}" name="Host" dataDxfId="25"/>
    <tableColumn id="2" xr3:uid="{34CE3694-9471-44E7-A82A-1785C1CC2381}" name="D Red" dataDxfId="24"/>
    <tableColumn id="3" xr3:uid="{D9DF97F1-1C4E-4050-B1BB-B028EF2A6F74}" name="Rango de direcciones Utilizables" dataDxfId="23"/>
    <tableColumn id="4" xr3:uid="{3F217D1A-5F74-43EB-9393-2EA605C9FFCF}" name="Broadcast" dataDxfId="22"/>
    <tableColumn id="5" xr3:uid="{05CAF96B-BEBF-4AA6-AACF-65A3EBB0DD5F}" name="Mascara" dataDxfId="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84EDC8-5E20-466D-A6ED-05DEC22B89EC}" name="Table27" displayName="Table27" ref="E10:E23" totalsRowShown="0" headerRowDxfId="20" dataDxfId="19">
  <autoFilter ref="E10:E23" xr:uid="{0348E778-2866-423C-9DCA-F023AF5C46A4}"/>
  <tableColumns count="1">
    <tableColumn id="1" xr3:uid="{81D97FEE-922F-4C17-B10D-86211A513660}" name="Red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226A340-079E-4294-BCFF-E223551F6D04}" name="Table3878" displayName="Table3878" ref="Z3:AA18" totalsRowShown="0" headerRowDxfId="17" dataDxfId="16">
  <autoFilter ref="Z3:AA18" xr:uid="{B25363A7-1859-455C-85AA-6756553AC97A}"/>
  <tableColumns count="2">
    <tableColumn id="1" xr3:uid="{A4FD3C89-3A01-44B6-8F36-75FC00D5E0E5}" name="Base 2" dataDxfId="15"/>
    <tableColumn id="2" xr3:uid="{D2203B19-5802-4617-AC79-2C87EE9440D1}" name="Potencia" dataDxfId="14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E18F5C-D3CB-408D-8B1B-4C7E0805A431}" name="Tabla169" displayName="Tabla169" ref="F10:J23" totalsRowShown="0" headerRowDxfId="13" dataDxfId="12">
  <autoFilter ref="F10:J23" xr:uid="{42F48318-35A3-4F30-959F-F25FBDAB7F28}"/>
  <tableColumns count="5">
    <tableColumn id="1" xr3:uid="{E78980C1-5238-4137-B916-B805E75B83DB}" name="Host" dataDxfId="11"/>
    <tableColumn id="2" xr3:uid="{FED59DB1-D0CA-4267-B9DB-9B0795458F84}" name="D Red" dataDxfId="10"/>
    <tableColumn id="3" xr3:uid="{F7388FF3-7320-43FD-8667-7E7996EEBC9F}" name="Rango de direcciones Utilizables" dataDxfId="9"/>
    <tableColumn id="4" xr3:uid="{0E25E989-7993-424F-8661-F9241453D63D}" name="Broadcast" dataDxfId="8"/>
    <tableColumn id="5" xr3:uid="{B70DAAA9-7CDE-4E7E-ACBF-CC93D69930A0}" name="Mascara" dataDxfId="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A918FDA-9BA8-4CB6-81DD-E223059ACB0B}" name="Table2710" displayName="Table2710" ref="E10:E23" totalsRowShown="0" headerRowDxfId="6" dataDxfId="5">
  <autoFilter ref="E10:E23" xr:uid="{0348E778-2866-423C-9DCA-F023AF5C46A4}"/>
  <tableColumns count="1">
    <tableColumn id="1" xr3:uid="{D05780AD-E849-4FB7-B4C9-57FD3AC44F8B}" name="Red" dataDxfId="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76B5CFC-00F0-4030-BBA9-5B8EE578A674}" name="Table387811" displayName="Table387811" ref="Z3:AA18" totalsRowShown="0" headerRowDxfId="3" dataDxfId="2">
  <autoFilter ref="Z3:AA18" xr:uid="{B25363A7-1859-455C-85AA-6756553AC97A}"/>
  <tableColumns count="2">
    <tableColumn id="1" xr3:uid="{11A68B51-83C4-4DB6-8359-661C50F539AB}" name="Base 2" dataDxfId="1"/>
    <tableColumn id="2" xr3:uid="{9ADE07C6-B593-4D04-8332-D1A11D68BC7D}" name="Potencia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2A9-D7BA-44C0-8879-86EEF414B403}">
  <dimension ref="A2:AA51"/>
  <sheetViews>
    <sheetView showGridLines="0" showRowColHeaders="0" topLeftCell="A6" zoomScale="120" zoomScaleNormal="120" zoomScaleSheetLayoutView="110" workbookViewId="0">
      <selection activeCell="G12" sqref="G12:J21"/>
    </sheetView>
  </sheetViews>
  <sheetFormatPr baseColWidth="10" defaultColWidth="11.5546875" defaultRowHeight="14.4" x14ac:dyDescent="0.3"/>
  <cols>
    <col min="2" max="2" width="23.77734375" customWidth="1"/>
    <col min="4" max="4" width="3" customWidth="1"/>
    <col min="5" max="5" width="5.5546875" customWidth="1"/>
    <col min="7" max="7" width="18.109375" bestFit="1" customWidth="1"/>
    <col min="8" max="8" width="51.44140625" bestFit="1" customWidth="1"/>
    <col min="9" max="9" width="18.33203125" customWidth="1"/>
    <col min="10" max="10" width="16.33203125" bestFit="1" customWidth="1"/>
    <col min="11" max="15" width="5.77734375" customWidth="1"/>
    <col min="16" max="16" width="20.44140625" customWidth="1"/>
    <col min="17" max="17" width="12.6640625" customWidth="1"/>
    <col min="22" max="22" width="3.33203125" customWidth="1"/>
  </cols>
  <sheetData>
    <row r="2" spans="1:27" x14ac:dyDescent="0.3">
      <c r="P2" s="1" t="s">
        <v>0</v>
      </c>
      <c r="Q2" s="2"/>
      <c r="R2" s="3"/>
      <c r="S2" s="4"/>
      <c r="T2" s="4"/>
      <c r="U2" s="4"/>
      <c r="V2" s="4"/>
    </row>
    <row r="3" spans="1:27" ht="29.4" thickBot="1" x14ac:dyDescent="0.5">
      <c r="F3" s="19"/>
      <c r="L3" s="105"/>
      <c r="M3" s="105"/>
      <c r="O3" s="5">
        <v>3</v>
      </c>
      <c r="P3" s="6"/>
      <c r="Q3" s="7"/>
      <c r="R3" s="8"/>
      <c r="S3" s="7"/>
      <c r="T3" s="7"/>
      <c r="U3" s="7"/>
      <c r="V3" s="7"/>
      <c r="Z3" s="9" t="s">
        <v>1</v>
      </c>
      <c r="AA3" s="9" t="s">
        <v>2</v>
      </c>
    </row>
    <row r="4" spans="1:27" ht="34.200000000000003" thickBot="1" x14ac:dyDescent="0.7">
      <c r="F4" s="19"/>
      <c r="G4" s="10" t="s">
        <v>3</v>
      </c>
      <c r="H4" s="11" t="s">
        <v>4</v>
      </c>
      <c r="I4" s="88"/>
      <c r="L4" s="105"/>
      <c r="M4" s="105"/>
      <c r="P4" s="12" t="s">
        <v>5</v>
      </c>
      <c r="Q4" s="7">
        <v>2</v>
      </c>
      <c r="R4" s="13" t="s">
        <v>148</v>
      </c>
      <c r="S4" s="14"/>
      <c r="T4" s="14"/>
      <c r="U4" s="14"/>
      <c r="V4" s="14"/>
      <c r="Z4" s="9" t="s">
        <v>6</v>
      </c>
      <c r="AA4" s="9">
        <f>2^0</f>
        <v>1</v>
      </c>
    </row>
    <row r="5" spans="1:27" ht="28.8" x14ac:dyDescent="0.55000000000000004">
      <c r="F5" s="19"/>
      <c r="G5" s="116" t="s">
        <v>133</v>
      </c>
      <c r="H5" s="117"/>
      <c r="I5" s="89"/>
      <c r="L5" s="106"/>
      <c r="P5" s="16" t="s">
        <v>7</v>
      </c>
      <c r="Q5" s="17"/>
      <c r="R5" s="18"/>
      <c r="S5" s="4"/>
      <c r="T5" s="4"/>
      <c r="U5" s="4"/>
      <c r="V5" s="4"/>
      <c r="Z5" s="9" t="s">
        <v>8</v>
      </c>
      <c r="AA5" s="9">
        <f>2^1</f>
        <v>2</v>
      </c>
    </row>
    <row r="6" spans="1:27" ht="25.8" x14ac:dyDescent="0.5">
      <c r="E6" s="19"/>
      <c r="F6" s="19"/>
      <c r="G6" s="118"/>
      <c r="H6" s="119"/>
      <c r="I6" s="90"/>
      <c r="Z6" s="9" t="s">
        <v>9</v>
      </c>
      <c r="AA6" s="9">
        <f>2^2</f>
        <v>4</v>
      </c>
    </row>
    <row r="7" spans="1:27" ht="29.4" thickBot="1" x14ac:dyDescent="0.6">
      <c r="E7" s="19"/>
      <c r="F7" s="19"/>
      <c r="G7" s="120"/>
      <c r="H7" s="121"/>
      <c r="I7" s="67"/>
      <c r="J7" s="20"/>
      <c r="P7" s="110" t="s">
        <v>56</v>
      </c>
      <c r="Q7" s="22" t="s">
        <v>10</v>
      </c>
      <c r="U7" s="93"/>
      <c r="Z7" s="9" t="s">
        <v>11</v>
      </c>
      <c r="AA7" s="9">
        <f>2^3</f>
        <v>8</v>
      </c>
    </row>
    <row r="8" spans="1:27" ht="28.8" x14ac:dyDescent="0.55000000000000004">
      <c r="E8" s="19"/>
      <c r="F8" s="19"/>
      <c r="I8" s="67"/>
      <c r="P8" s="111" t="s">
        <v>77</v>
      </c>
      <c r="Q8" s="22" t="s">
        <v>12</v>
      </c>
      <c r="U8" s="87"/>
      <c r="Z8" s="9" t="s">
        <v>13</v>
      </c>
      <c r="AA8" s="9">
        <f>2^4</f>
        <v>16</v>
      </c>
    </row>
    <row r="9" spans="1:27" ht="28.8" x14ac:dyDescent="0.55000000000000004">
      <c r="E9" s="19"/>
      <c r="F9" s="19"/>
      <c r="G9" s="15"/>
      <c r="I9" s="19"/>
      <c r="J9" t="s">
        <v>145</v>
      </c>
      <c r="L9" s="21"/>
      <c r="M9" s="21"/>
      <c r="N9" s="21"/>
      <c r="O9" s="21"/>
      <c r="P9" s="112" t="s">
        <v>155</v>
      </c>
      <c r="Q9" s="22"/>
      <c r="Z9" s="9" t="s">
        <v>14</v>
      </c>
      <c r="AA9" s="9">
        <f>2^5</f>
        <v>32</v>
      </c>
    </row>
    <row r="10" spans="1:27" ht="28.8" x14ac:dyDescent="0.55000000000000004">
      <c r="B10" s="24" t="s">
        <v>15</v>
      </c>
      <c r="E10" s="25" t="s">
        <v>16</v>
      </c>
      <c r="F10" s="25" t="s">
        <v>17</v>
      </c>
      <c r="G10" s="26" t="s">
        <v>18</v>
      </c>
      <c r="H10" s="27" t="s">
        <v>19</v>
      </c>
      <c r="I10" s="25" t="s">
        <v>20</v>
      </c>
      <c r="J10" s="26" t="s">
        <v>21</v>
      </c>
      <c r="L10" s="23"/>
      <c r="M10" s="23"/>
      <c r="N10" s="23"/>
      <c r="O10" s="23"/>
      <c r="P10" s="28"/>
      <c r="Z10" s="9" t="s">
        <v>22</v>
      </c>
      <c r="AA10" s="9">
        <f>2^6</f>
        <v>64</v>
      </c>
    </row>
    <row r="11" spans="1:27" ht="29.4" thickBot="1" x14ac:dyDescent="0.6">
      <c r="A11" t="s">
        <v>119</v>
      </c>
      <c r="B11" s="109">
        <v>512</v>
      </c>
      <c r="E11" s="25">
        <v>0</v>
      </c>
      <c r="F11" s="92">
        <v>1500</v>
      </c>
      <c r="G11" s="102" t="s">
        <v>134</v>
      </c>
      <c r="H11" s="30" t="s">
        <v>135</v>
      </c>
      <c r="I11" s="25" t="s">
        <v>57</v>
      </c>
      <c r="J11" s="31" t="s">
        <v>55</v>
      </c>
      <c r="L11" s="23"/>
      <c r="M11" s="23"/>
      <c r="N11" s="23"/>
      <c r="O11" s="5">
        <v>4</v>
      </c>
      <c r="Q11" s="32"/>
      <c r="R11" s="32"/>
      <c r="S11" s="32"/>
      <c r="T11" s="32"/>
      <c r="Z11" s="9" t="s">
        <v>23</v>
      </c>
      <c r="AA11" s="9">
        <f>2^7</f>
        <v>128</v>
      </c>
    </row>
    <row r="12" spans="1:27" ht="24.6" thickTop="1" thickBot="1" x14ac:dyDescent="0.5">
      <c r="A12" t="s">
        <v>130</v>
      </c>
      <c r="B12" s="109">
        <v>126</v>
      </c>
      <c r="E12" s="25">
        <v>1</v>
      </c>
      <c r="F12" s="92">
        <v>512</v>
      </c>
      <c r="G12" s="29" t="s">
        <v>136</v>
      </c>
      <c r="H12" s="33" t="s">
        <v>137</v>
      </c>
      <c r="I12" s="25" t="s">
        <v>59</v>
      </c>
      <c r="J12" s="31" t="s">
        <v>58</v>
      </c>
      <c r="P12" s="34"/>
      <c r="Q12" s="35" t="s">
        <v>24</v>
      </c>
      <c r="R12" s="36" t="s">
        <v>25</v>
      </c>
      <c r="S12" s="37" t="s">
        <v>26</v>
      </c>
      <c r="T12" s="38" t="s">
        <v>27</v>
      </c>
      <c r="W12" s="122" t="s">
        <v>28</v>
      </c>
      <c r="X12" s="122"/>
      <c r="Z12" s="9" t="s">
        <v>29</v>
      </c>
      <c r="AA12" s="9">
        <f>2^8</f>
        <v>256</v>
      </c>
    </row>
    <row r="13" spans="1:27" ht="24" thickTop="1" x14ac:dyDescent="0.45">
      <c r="A13" t="s">
        <v>120</v>
      </c>
      <c r="B13" s="109">
        <v>1500</v>
      </c>
      <c r="E13" s="25">
        <v>2</v>
      </c>
      <c r="F13" s="92">
        <v>350</v>
      </c>
      <c r="G13" s="29" t="s">
        <v>138</v>
      </c>
      <c r="H13" s="33" t="s">
        <v>139</v>
      </c>
      <c r="I13" s="25" t="s">
        <v>140</v>
      </c>
      <c r="J13" s="31" t="s">
        <v>60</v>
      </c>
      <c r="K13" s="39"/>
      <c r="L13" s="39"/>
      <c r="M13" s="39"/>
      <c r="N13" s="39"/>
      <c r="O13" s="39"/>
      <c r="P13" s="40" t="s">
        <v>56</v>
      </c>
      <c r="Q13" s="94">
        <v>255</v>
      </c>
      <c r="R13" s="95">
        <v>255</v>
      </c>
      <c r="S13" s="96">
        <v>255</v>
      </c>
      <c r="T13" s="97">
        <v>255</v>
      </c>
      <c r="U13" s="9"/>
      <c r="V13" s="9"/>
      <c r="W13" s="41">
        <v>0</v>
      </c>
      <c r="X13" s="42" t="s">
        <v>30</v>
      </c>
      <c r="Y13" s="68">
        <v>0</v>
      </c>
      <c r="Z13" s="9" t="s">
        <v>31</v>
      </c>
      <c r="AA13" s="9">
        <f>2^9</f>
        <v>512</v>
      </c>
    </row>
    <row r="14" spans="1:27" ht="21" x14ac:dyDescent="0.4">
      <c r="A14" t="s">
        <v>122</v>
      </c>
      <c r="B14" s="108">
        <v>25</v>
      </c>
      <c r="E14" s="25">
        <v>3</v>
      </c>
      <c r="F14" s="92">
        <v>126</v>
      </c>
      <c r="G14" s="29" t="s">
        <v>141</v>
      </c>
      <c r="H14" s="33" t="s">
        <v>143</v>
      </c>
      <c r="I14" s="25" t="s">
        <v>142</v>
      </c>
      <c r="J14" s="31" t="s">
        <v>61</v>
      </c>
      <c r="P14" s="40" t="s">
        <v>32</v>
      </c>
      <c r="Q14" s="43">
        <v>255</v>
      </c>
      <c r="R14" s="44">
        <v>255</v>
      </c>
      <c r="S14" s="45">
        <v>255</v>
      </c>
      <c r="T14" s="46">
        <v>240</v>
      </c>
      <c r="V14" s="9"/>
      <c r="W14" s="41">
        <v>128</v>
      </c>
      <c r="X14" s="42" t="s">
        <v>33</v>
      </c>
      <c r="Y14" s="68">
        <v>1</v>
      </c>
      <c r="Z14" s="9" t="s">
        <v>34</v>
      </c>
      <c r="AA14" s="9">
        <f>2^10</f>
        <v>1024</v>
      </c>
    </row>
    <row r="15" spans="1:27" ht="21" x14ac:dyDescent="0.4">
      <c r="A15" t="s">
        <v>121</v>
      </c>
      <c r="B15" s="108">
        <v>10</v>
      </c>
      <c r="E15" s="25">
        <v>4</v>
      </c>
      <c r="F15" s="92">
        <v>50</v>
      </c>
      <c r="G15" s="29" t="s">
        <v>144</v>
      </c>
      <c r="H15" s="33" t="s">
        <v>147</v>
      </c>
      <c r="I15" s="29" t="s">
        <v>146</v>
      </c>
      <c r="J15" s="47" t="s">
        <v>126</v>
      </c>
      <c r="P15" s="40"/>
      <c r="Q15" s="43">
        <v>0</v>
      </c>
      <c r="R15" s="48">
        <v>0</v>
      </c>
      <c r="S15" s="45">
        <v>0</v>
      </c>
      <c r="T15" s="46">
        <v>15</v>
      </c>
      <c r="U15" s="49" t="s">
        <v>35</v>
      </c>
      <c r="V15" s="9"/>
      <c r="W15" s="41">
        <v>192</v>
      </c>
      <c r="X15" s="42" t="s">
        <v>36</v>
      </c>
      <c r="Y15" s="68">
        <v>2</v>
      </c>
      <c r="Z15" s="9" t="s">
        <v>37</v>
      </c>
      <c r="AA15" s="9">
        <f>2^11</f>
        <v>2048</v>
      </c>
    </row>
    <row r="16" spans="1:27" ht="21.6" thickBot="1" x14ac:dyDescent="0.45">
      <c r="A16" t="s">
        <v>131</v>
      </c>
      <c r="B16" s="109">
        <v>50</v>
      </c>
      <c r="E16" s="25">
        <v>5</v>
      </c>
      <c r="F16" s="92">
        <v>25</v>
      </c>
      <c r="G16" s="29" t="s">
        <v>149</v>
      </c>
      <c r="H16" s="33" t="s">
        <v>151</v>
      </c>
      <c r="I16" s="29" t="s">
        <v>150</v>
      </c>
      <c r="J16" s="47" t="s">
        <v>127</v>
      </c>
      <c r="P16" s="50"/>
      <c r="Q16" s="98"/>
      <c r="R16" s="99"/>
      <c r="S16" s="100"/>
      <c r="T16" s="101"/>
      <c r="U16" s="9"/>
      <c r="V16" s="9"/>
      <c r="W16" s="41">
        <v>224</v>
      </c>
      <c r="X16" s="42" t="s">
        <v>38</v>
      </c>
      <c r="Y16" s="68">
        <v>3</v>
      </c>
      <c r="Z16" s="9" t="s">
        <v>39</v>
      </c>
      <c r="AA16" s="9">
        <f>2^12</f>
        <v>4096</v>
      </c>
    </row>
    <row r="17" spans="1:27" ht="24" thickTop="1" x14ac:dyDescent="0.45">
      <c r="A17" t="s">
        <v>132</v>
      </c>
      <c r="B17" s="109">
        <v>350</v>
      </c>
      <c r="E17" s="25">
        <v>6</v>
      </c>
      <c r="F17" s="92">
        <v>10</v>
      </c>
      <c r="G17" s="29" t="s">
        <v>152</v>
      </c>
      <c r="H17" s="33" t="s">
        <v>154</v>
      </c>
      <c r="I17" s="25" t="s">
        <v>153</v>
      </c>
      <c r="J17" s="47" t="s">
        <v>62</v>
      </c>
      <c r="U17" s="9"/>
      <c r="V17" s="9"/>
      <c r="W17" s="41">
        <v>240</v>
      </c>
      <c r="X17" s="42" t="s">
        <v>40</v>
      </c>
      <c r="Y17" s="68">
        <v>4</v>
      </c>
      <c r="Z17" s="9" t="s">
        <v>41</v>
      </c>
      <c r="AA17" s="9">
        <f>2^13</f>
        <v>8192</v>
      </c>
    </row>
    <row r="18" spans="1:27" ht="18" x14ac:dyDescent="0.35">
      <c r="B18" s="108">
        <v>2</v>
      </c>
      <c r="E18" s="25">
        <v>7</v>
      </c>
      <c r="F18" s="92">
        <v>2</v>
      </c>
      <c r="G18" s="29" t="s">
        <v>156</v>
      </c>
      <c r="H18" s="33" t="s">
        <v>157</v>
      </c>
      <c r="I18" s="25" t="s">
        <v>158</v>
      </c>
      <c r="J18" s="52" t="s">
        <v>63</v>
      </c>
      <c r="U18" s="9"/>
      <c r="V18" s="9"/>
      <c r="W18" s="41">
        <v>248</v>
      </c>
      <c r="X18" s="42" t="s">
        <v>42</v>
      </c>
      <c r="Y18" s="68">
        <v>5</v>
      </c>
      <c r="Z18" s="9" t="s">
        <v>43</v>
      </c>
      <c r="AA18" s="9">
        <f>2^14</f>
        <v>16384</v>
      </c>
    </row>
    <row r="19" spans="1:27" ht="28.8" x14ac:dyDescent="0.35">
      <c r="B19" s="108">
        <v>2</v>
      </c>
      <c r="E19" s="25">
        <v>8</v>
      </c>
      <c r="F19" s="92">
        <v>2</v>
      </c>
      <c r="G19" s="29" t="s">
        <v>161</v>
      </c>
      <c r="H19" s="33" t="s">
        <v>159</v>
      </c>
      <c r="I19" s="25" t="s">
        <v>160</v>
      </c>
      <c r="J19" s="52" t="s">
        <v>63</v>
      </c>
      <c r="K19" s="123" t="s">
        <v>44</v>
      </c>
      <c r="L19" s="124"/>
      <c r="M19" s="124"/>
      <c r="N19" s="124"/>
      <c r="O19" s="124"/>
      <c r="P19" s="124"/>
      <c r="Q19" s="5">
        <v>5</v>
      </c>
      <c r="V19" s="9"/>
      <c r="W19" s="41">
        <v>252</v>
      </c>
      <c r="X19" s="42" t="s">
        <v>45</v>
      </c>
      <c r="Y19" s="68">
        <v>6</v>
      </c>
    </row>
    <row r="20" spans="1:27" ht="23.4" x14ac:dyDescent="0.45">
      <c r="B20" s="108">
        <v>2</v>
      </c>
      <c r="E20" s="25">
        <v>9</v>
      </c>
      <c r="F20" s="51">
        <v>2</v>
      </c>
      <c r="G20" s="29" t="s">
        <v>163</v>
      </c>
      <c r="H20" s="33" t="s">
        <v>164</v>
      </c>
      <c r="I20" s="25" t="s">
        <v>165</v>
      </c>
      <c r="J20" s="52" t="s">
        <v>63</v>
      </c>
      <c r="Q20" s="15"/>
      <c r="V20" s="9"/>
      <c r="W20" s="41">
        <v>254</v>
      </c>
      <c r="X20" s="42" t="s">
        <v>46</v>
      </c>
      <c r="Y20" s="68">
        <v>7</v>
      </c>
    </row>
    <row r="21" spans="1:27" ht="21" x14ac:dyDescent="0.4">
      <c r="B21" s="108">
        <v>2</v>
      </c>
      <c r="E21" s="25">
        <v>10</v>
      </c>
      <c r="F21" s="92">
        <v>2</v>
      </c>
      <c r="G21" s="29" t="s">
        <v>162</v>
      </c>
      <c r="H21" s="33" t="s">
        <v>166</v>
      </c>
      <c r="I21" s="25" t="s">
        <v>124</v>
      </c>
      <c r="J21" s="52" t="s">
        <v>63</v>
      </c>
      <c r="L21" s="22">
        <v>172</v>
      </c>
      <c r="M21" s="22">
        <v>30</v>
      </c>
      <c r="N21" s="22">
        <v>14</v>
      </c>
      <c r="O21" s="22">
        <v>224</v>
      </c>
      <c r="P21" s="53" t="s">
        <v>47</v>
      </c>
      <c r="Q21" s="54"/>
      <c r="V21" s="9"/>
      <c r="W21" s="41">
        <v>255</v>
      </c>
      <c r="X21" s="42" t="s">
        <v>48</v>
      </c>
      <c r="Y21" s="68">
        <v>8</v>
      </c>
    </row>
    <row r="22" spans="1:27" ht="26.4" thickBot="1" x14ac:dyDescent="0.55000000000000004">
      <c r="B22" s="91"/>
      <c r="E22" s="25"/>
      <c r="F22" s="52"/>
      <c r="G22" s="29"/>
      <c r="H22" s="33"/>
      <c r="I22" s="25"/>
      <c r="J22" s="47"/>
      <c r="K22" s="55" t="s">
        <v>49</v>
      </c>
      <c r="L22" s="56">
        <v>0</v>
      </c>
      <c r="M22" s="56">
        <v>0</v>
      </c>
      <c r="N22" s="56">
        <v>0</v>
      </c>
      <c r="O22" s="56">
        <v>15</v>
      </c>
      <c r="P22" s="57" t="s">
        <v>35</v>
      </c>
      <c r="Q22" s="58"/>
      <c r="V22" s="9"/>
    </row>
    <row r="23" spans="1:27" ht="21" x14ac:dyDescent="0.4">
      <c r="E23" s="25"/>
      <c r="F23" s="59"/>
      <c r="G23" s="29"/>
      <c r="H23" s="33"/>
      <c r="I23" s="25"/>
      <c r="J23" s="60"/>
      <c r="L23" s="61">
        <v>172</v>
      </c>
      <c r="M23" s="61">
        <v>30</v>
      </c>
      <c r="N23" s="61">
        <v>14</v>
      </c>
      <c r="O23" s="61"/>
      <c r="P23" s="62" t="s">
        <v>50</v>
      </c>
      <c r="Q23" s="54"/>
      <c r="V23" s="9"/>
    </row>
    <row r="24" spans="1:27" ht="18" x14ac:dyDescent="0.35">
      <c r="V24" s="9"/>
    </row>
    <row r="25" spans="1:27" ht="18" x14ac:dyDescent="0.35">
      <c r="V25" s="9"/>
      <c r="X25" s="19"/>
      <c r="Y25" s="19"/>
    </row>
    <row r="26" spans="1:27" ht="18" x14ac:dyDescent="0.35">
      <c r="V26" s="9"/>
      <c r="X26" s="19"/>
      <c r="Y26" s="19"/>
    </row>
    <row r="27" spans="1:27" ht="18" x14ac:dyDescent="0.35">
      <c r="E27" s="63"/>
      <c r="V27" s="9"/>
      <c r="X27" s="19"/>
      <c r="Y27" s="19"/>
    </row>
    <row r="28" spans="1:27" ht="18" x14ac:dyDescent="0.35">
      <c r="V28" s="9"/>
      <c r="X28" s="19"/>
      <c r="Y28" s="19"/>
    </row>
    <row r="29" spans="1:27" x14ac:dyDescent="0.3">
      <c r="J29" t="s">
        <v>51</v>
      </c>
    </row>
    <row r="30" spans="1:27" ht="21" x14ac:dyDescent="0.4">
      <c r="A30" s="125" t="s">
        <v>111</v>
      </c>
      <c r="B30" s="125"/>
      <c r="C30" s="125"/>
      <c r="D30" s="125"/>
      <c r="E30" s="125"/>
      <c r="F30" s="125"/>
    </row>
    <row r="31" spans="1:27" ht="21" x14ac:dyDescent="0.4">
      <c r="A31" s="64"/>
      <c r="B31" s="64"/>
      <c r="C31" s="125" t="s">
        <v>52</v>
      </c>
      <c r="D31" s="125"/>
      <c r="E31" s="125"/>
      <c r="F31" s="125"/>
    </row>
    <row r="32" spans="1:27" ht="21" x14ac:dyDescent="0.4">
      <c r="A32" s="64"/>
      <c r="B32" s="64" t="s">
        <v>61</v>
      </c>
      <c r="C32" s="64"/>
      <c r="D32" s="64"/>
      <c r="E32" s="64"/>
      <c r="F32" s="64"/>
    </row>
    <row r="33" spans="1:9" ht="36.6" x14ac:dyDescent="0.7">
      <c r="A33" s="115" t="s">
        <v>129</v>
      </c>
      <c r="B33" s="115"/>
      <c r="C33" s="115"/>
      <c r="D33" s="115"/>
      <c r="E33" s="115"/>
      <c r="F33" s="115"/>
    </row>
    <row r="34" spans="1:9" ht="18.600000000000001" thickBot="1" x14ac:dyDescent="0.4">
      <c r="A34" s="65"/>
      <c r="B34" s="65"/>
      <c r="C34" s="65"/>
      <c r="D34" s="65"/>
      <c r="E34" s="65"/>
      <c r="F34" s="65"/>
    </row>
    <row r="35" spans="1:9" ht="35.4" customHeight="1" thickBot="1" x14ac:dyDescent="0.35">
      <c r="A35" s="130" t="s">
        <v>53</v>
      </c>
      <c r="B35" s="131"/>
      <c r="C35" s="131"/>
      <c r="D35" s="131"/>
      <c r="E35" s="131"/>
      <c r="F35" s="132"/>
    </row>
    <row r="37" spans="1:9" ht="15.6" x14ac:dyDescent="0.3">
      <c r="A37" s="107"/>
      <c r="B37" s="107"/>
      <c r="C37" s="128" t="s">
        <v>109</v>
      </c>
      <c r="D37" s="129"/>
      <c r="E37" s="66">
        <v>64000</v>
      </c>
    </row>
    <row r="38" spans="1:9" ht="15.6" x14ac:dyDescent="0.3">
      <c r="A38" s="126"/>
      <c r="B38" s="127"/>
      <c r="C38" s="128"/>
      <c r="D38" s="129"/>
      <c r="E38" s="66">
        <v>2048</v>
      </c>
      <c r="H38" s="19"/>
      <c r="I38" s="19"/>
    </row>
    <row r="39" spans="1:9" ht="15.6" x14ac:dyDescent="0.3">
      <c r="A39" s="107"/>
      <c r="B39" s="107"/>
      <c r="C39" s="128"/>
      <c r="D39" s="129"/>
      <c r="E39" s="66"/>
    </row>
    <row r="40" spans="1:9" ht="15.6" x14ac:dyDescent="0.3">
      <c r="A40" s="126"/>
      <c r="B40" s="127"/>
      <c r="C40" s="128"/>
      <c r="D40" s="129"/>
      <c r="E40" s="66"/>
    </row>
    <row r="41" spans="1:9" ht="15.6" x14ac:dyDescent="0.3">
      <c r="A41" s="63"/>
      <c r="B41" s="63"/>
      <c r="C41" s="128"/>
      <c r="D41" s="129"/>
      <c r="E41" s="66"/>
    </row>
    <row r="42" spans="1:9" ht="15.6" x14ac:dyDescent="0.3">
      <c r="C42" s="128"/>
      <c r="D42" s="129"/>
      <c r="E42" s="66"/>
    </row>
    <row r="43" spans="1:9" ht="15.6" x14ac:dyDescent="0.3">
      <c r="E43" s="66"/>
    </row>
    <row r="44" spans="1:9" ht="15.6" x14ac:dyDescent="0.3">
      <c r="E44" s="66"/>
    </row>
    <row r="47" spans="1:9" ht="33.6" x14ac:dyDescent="0.65">
      <c r="B47" s="86"/>
      <c r="C47" s="63"/>
    </row>
    <row r="48" spans="1:9" ht="33.6" x14ac:dyDescent="0.65">
      <c r="B48" s="86"/>
      <c r="C48" s="63"/>
    </row>
    <row r="49" spans="2:3" ht="33.6" x14ac:dyDescent="0.65">
      <c r="B49" s="86"/>
      <c r="C49" s="63"/>
    </row>
    <row r="50" spans="2:3" ht="33.6" x14ac:dyDescent="0.65">
      <c r="B50" s="86"/>
      <c r="C50" s="63"/>
    </row>
    <row r="51" spans="2:3" x14ac:dyDescent="0.3">
      <c r="B51" s="63"/>
      <c r="C51" s="63"/>
    </row>
  </sheetData>
  <mergeCells count="15">
    <mergeCell ref="A40:B40"/>
    <mergeCell ref="C40:D40"/>
    <mergeCell ref="C41:D41"/>
    <mergeCell ref="C42:D42"/>
    <mergeCell ref="A35:F35"/>
    <mergeCell ref="C37:D37"/>
    <mergeCell ref="C38:D38"/>
    <mergeCell ref="A38:B38"/>
    <mergeCell ref="C39:D39"/>
    <mergeCell ref="A33:F33"/>
    <mergeCell ref="G5:H7"/>
    <mergeCell ref="W12:X12"/>
    <mergeCell ref="K19:P19"/>
    <mergeCell ref="A30:F30"/>
    <mergeCell ref="C31:F31"/>
  </mergeCells>
  <phoneticPr fontId="34" type="noConversion"/>
  <pageMargins left="0.7" right="0.7" top="0.75" bottom="0.75" header="0.3" footer="0.3"/>
  <pageSetup paperSize="9" scale="51" orientation="portrait" horizontalDpi="360" verticalDpi="360" r:id="rId1"/>
  <colBreaks count="1" manualBreakCount="1">
    <brk id="10" max="51" man="1"/>
  </colBreaks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B0CA-D6FE-456B-AE95-4DC63DBB780F}">
  <dimension ref="A1:O82"/>
  <sheetViews>
    <sheetView zoomScale="130" zoomScaleNormal="130" workbookViewId="0">
      <selection activeCell="E6" sqref="E6:F56"/>
    </sheetView>
  </sheetViews>
  <sheetFormatPr baseColWidth="10" defaultColWidth="11.5546875" defaultRowHeight="14.4" x14ac:dyDescent="0.3"/>
  <cols>
    <col min="2" max="2" width="13.44140625" bestFit="1" customWidth="1"/>
    <col min="3" max="3" width="13.44140625" customWidth="1"/>
    <col min="4" max="4" width="14.33203125" bestFit="1" customWidth="1"/>
    <col min="5" max="5" width="41.44140625" customWidth="1"/>
    <col min="6" max="6" width="50.88671875" style="63" bestFit="1" customWidth="1"/>
  </cols>
  <sheetData>
    <row r="1" spans="1:15" ht="18" x14ac:dyDescent="0.35">
      <c r="A1" s="63"/>
      <c r="E1" s="69" t="s">
        <v>64</v>
      </c>
    </row>
    <row r="2" spans="1:15" x14ac:dyDescent="0.3">
      <c r="A2" s="63"/>
      <c r="I2">
        <v>189</v>
      </c>
    </row>
    <row r="3" spans="1:15" x14ac:dyDescent="0.3">
      <c r="A3" s="63"/>
      <c r="F3" s="63" t="s">
        <v>65</v>
      </c>
    </row>
    <row r="4" spans="1:15" x14ac:dyDescent="0.3">
      <c r="A4" s="63"/>
      <c r="F4" s="63" t="s">
        <v>66</v>
      </c>
    </row>
    <row r="5" spans="1:15" ht="21" x14ac:dyDescent="0.4">
      <c r="A5" s="63"/>
      <c r="D5" t="s">
        <v>67</v>
      </c>
      <c r="E5" t="s">
        <v>68</v>
      </c>
      <c r="G5" s="133" t="s">
        <v>69</v>
      </c>
      <c r="H5" s="133"/>
      <c r="I5" s="133"/>
      <c r="J5" s="133"/>
      <c r="K5" s="133"/>
      <c r="L5" s="133"/>
      <c r="M5" s="133"/>
      <c r="N5" s="133"/>
      <c r="O5" s="9"/>
    </row>
    <row r="6" spans="1:15" ht="18" x14ac:dyDescent="0.35">
      <c r="D6" t="s">
        <v>70</v>
      </c>
      <c r="E6" s="70"/>
      <c r="G6" s="71" t="s">
        <v>23</v>
      </c>
      <c r="H6" s="71" t="s">
        <v>22</v>
      </c>
      <c r="I6" s="71" t="s">
        <v>14</v>
      </c>
      <c r="J6" s="71" t="s">
        <v>13</v>
      </c>
      <c r="K6" s="71" t="s">
        <v>11</v>
      </c>
      <c r="L6" s="71" t="s">
        <v>9</v>
      </c>
      <c r="M6" s="71" t="s">
        <v>8</v>
      </c>
      <c r="N6" s="71" t="s">
        <v>6</v>
      </c>
      <c r="O6" s="9"/>
    </row>
    <row r="7" spans="1:15" ht="18" x14ac:dyDescent="0.35">
      <c r="D7" t="s">
        <v>71</v>
      </c>
      <c r="E7" s="63"/>
      <c r="G7" s="72" t="s">
        <v>72</v>
      </c>
      <c r="H7" s="73" t="s">
        <v>73</v>
      </c>
      <c r="I7" s="73" t="s">
        <v>56</v>
      </c>
      <c r="J7" s="73" t="s">
        <v>74</v>
      </c>
      <c r="K7" s="73" t="s">
        <v>75</v>
      </c>
      <c r="L7" s="73" t="s">
        <v>76</v>
      </c>
      <c r="M7" s="73" t="s">
        <v>77</v>
      </c>
      <c r="N7" s="74" t="s">
        <v>78</v>
      </c>
      <c r="O7" s="75">
        <v>255</v>
      </c>
    </row>
    <row r="8" spans="1:15" ht="20.399999999999999" x14ac:dyDescent="0.45">
      <c r="D8" t="s">
        <v>79</v>
      </c>
      <c r="E8" s="63"/>
      <c r="G8" s="76">
        <v>0</v>
      </c>
      <c r="H8" s="77">
        <v>1</v>
      </c>
      <c r="I8" s="77">
        <v>0</v>
      </c>
      <c r="J8" s="77">
        <v>1</v>
      </c>
      <c r="K8" s="77">
        <v>1</v>
      </c>
      <c r="L8" s="77">
        <v>1</v>
      </c>
      <c r="M8" s="77">
        <v>1</v>
      </c>
      <c r="N8" s="78">
        <v>1</v>
      </c>
      <c r="O8" s="79">
        <f>IF(G8=1,G7,0)+ IF(H8=1,H7,0)+ IF(I8=1,I7,0)+  IF(J8=1,J7,0)+ IF(K8=1,K7,0)+ IF(L8=1,L7,0)+ IF(M8=1,M7,0)+ IF(N8=1,N7,0)</f>
        <v>95</v>
      </c>
    </row>
    <row r="9" spans="1:15" x14ac:dyDescent="0.3">
      <c r="E9" s="63"/>
      <c r="G9" s="134" t="s">
        <v>80</v>
      </c>
      <c r="H9" s="134"/>
      <c r="I9" s="134"/>
      <c r="J9" s="134"/>
      <c r="K9" s="135" t="s">
        <v>81</v>
      </c>
      <c r="L9" s="135"/>
      <c r="M9" s="135"/>
      <c r="N9" s="135"/>
      <c r="O9" s="63"/>
    </row>
    <row r="10" spans="1:15" x14ac:dyDescent="0.3">
      <c r="D10" t="s">
        <v>82</v>
      </c>
      <c r="E10" s="63"/>
      <c r="G10" s="63"/>
      <c r="H10" s="63"/>
      <c r="I10" s="63"/>
      <c r="J10" s="63"/>
      <c r="K10" s="63"/>
      <c r="L10" s="63"/>
      <c r="M10" s="63"/>
      <c r="N10" s="63"/>
    </row>
    <row r="11" spans="1:15" x14ac:dyDescent="0.3">
      <c r="E11" s="63"/>
      <c r="G11" s="63"/>
      <c r="H11" s="63"/>
      <c r="I11" s="63" t="s">
        <v>83</v>
      </c>
      <c r="J11" s="63" t="s">
        <v>73</v>
      </c>
      <c r="K11" s="63"/>
      <c r="L11" s="63"/>
      <c r="M11" s="63"/>
      <c r="N11" s="63"/>
    </row>
    <row r="12" spans="1:15" x14ac:dyDescent="0.3">
      <c r="G12" s="63"/>
      <c r="H12" s="63"/>
      <c r="I12" s="63"/>
      <c r="J12" s="63"/>
      <c r="K12" s="63"/>
      <c r="L12" s="63"/>
      <c r="M12" s="63"/>
      <c r="N12" s="63"/>
    </row>
    <row r="13" spans="1:15" x14ac:dyDescent="0.3">
      <c r="C13" s="63"/>
      <c r="E13" s="80"/>
      <c r="G13" s="63"/>
      <c r="H13" s="63"/>
      <c r="I13" s="63"/>
      <c r="J13" s="63"/>
      <c r="K13" s="63"/>
      <c r="L13" s="63"/>
      <c r="M13" s="63"/>
      <c r="N13" s="63"/>
    </row>
    <row r="14" spans="1:15" x14ac:dyDescent="0.3">
      <c r="C14" s="63"/>
      <c r="E14" s="81"/>
      <c r="G14" s="63"/>
      <c r="H14" s="63"/>
      <c r="I14" s="63"/>
      <c r="J14" s="63"/>
      <c r="K14" s="63"/>
      <c r="L14" s="63"/>
      <c r="M14" s="63"/>
      <c r="N14" s="63"/>
    </row>
    <row r="15" spans="1:15" x14ac:dyDescent="0.3">
      <c r="C15" s="63"/>
      <c r="G15" s="63"/>
      <c r="H15" s="63"/>
      <c r="I15" s="63"/>
      <c r="J15" s="63"/>
      <c r="K15" s="63"/>
      <c r="L15" s="63"/>
      <c r="M15" s="63"/>
      <c r="N15" s="63"/>
    </row>
    <row r="16" spans="1:15" x14ac:dyDescent="0.3">
      <c r="C16" s="82"/>
      <c r="D16" t="s">
        <v>54</v>
      </c>
      <c r="E16" s="22"/>
      <c r="G16" s="63"/>
      <c r="H16" s="63"/>
      <c r="I16" s="63"/>
      <c r="J16" s="63"/>
      <c r="K16" s="63"/>
      <c r="L16" s="63"/>
      <c r="M16" s="63"/>
      <c r="N16" s="63"/>
    </row>
    <row r="17" spans="2:14" x14ac:dyDescent="0.3">
      <c r="C17" s="63"/>
      <c r="G17" s="63"/>
      <c r="H17" s="63"/>
      <c r="I17" s="63"/>
      <c r="J17" s="63"/>
      <c r="K17" s="63"/>
      <c r="L17" s="63"/>
      <c r="M17" s="63"/>
      <c r="N17" s="63"/>
    </row>
    <row r="18" spans="2:14" x14ac:dyDescent="0.3">
      <c r="C18" s="63"/>
      <c r="D18" t="s">
        <v>84</v>
      </c>
      <c r="G18" s="63"/>
      <c r="H18" s="63"/>
      <c r="I18" s="63" t="s">
        <v>85</v>
      </c>
      <c r="J18" s="63" t="s">
        <v>86</v>
      </c>
      <c r="K18" s="63"/>
      <c r="L18" s="63"/>
      <c r="M18" s="63"/>
      <c r="N18" s="63"/>
    </row>
    <row r="19" spans="2:14" x14ac:dyDescent="0.3">
      <c r="C19" s="63"/>
      <c r="F19" s="70"/>
      <c r="G19" s="63"/>
      <c r="H19" s="63"/>
      <c r="I19" s="63" t="s">
        <v>87</v>
      </c>
      <c r="J19" s="63" t="s">
        <v>88</v>
      </c>
      <c r="K19" s="63"/>
      <c r="L19" s="63"/>
      <c r="M19" s="63"/>
      <c r="N19" s="63"/>
    </row>
    <row r="20" spans="2:14" x14ac:dyDescent="0.3">
      <c r="B20" s="63"/>
      <c r="C20" s="63"/>
      <c r="D20" t="s">
        <v>89</v>
      </c>
      <c r="E20" s="83"/>
      <c r="G20" s="63"/>
      <c r="H20" s="63"/>
      <c r="I20" s="63" t="s">
        <v>90</v>
      </c>
      <c r="J20" s="63" t="s">
        <v>72</v>
      </c>
      <c r="K20" s="63"/>
      <c r="L20" s="63"/>
      <c r="M20" s="63"/>
      <c r="N20" s="63"/>
    </row>
    <row r="21" spans="2:14" x14ac:dyDescent="0.3">
      <c r="B21" s="84"/>
      <c r="C21" s="63"/>
      <c r="G21" s="63"/>
      <c r="H21" s="63"/>
      <c r="I21" s="63"/>
      <c r="J21" s="63"/>
      <c r="K21" s="63"/>
      <c r="L21" s="63"/>
      <c r="M21" s="63"/>
      <c r="N21" s="63"/>
    </row>
    <row r="22" spans="2:14" x14ac:dyDescent="0.3">
      <c r="B22" s="84"/>
      <c r="C22" s="63"/>
      <c r="D22" t="s">
        <v>91</v>
      </c>
      <c r="F22" s="70"/>
      <c r="G22" s="63"/>
      <c r="H22" s="63"/>
      <c r="I22" s="63"/>
      <c r="J22" s="63"/>
      <c r="K22" s="63"/>
      <c r="L22" s="63"/>
    </row>
    <row r="23" spans="2:14" x14ac:dyDescent="0.3">
      <c r="B23" s="84"/>
      <c r="C23" s="82"/>
      <c r="D23" t="s">
        <v>92</v>
      </c>
      <c r="E23" s="85"/>
      <c r="G23" s="63"/>
      <c r="H23" s="63"/>
      <c r="I23" s="63" t="s">
        <v>93</v>
      </c>
      <c r="J23" s="63"/>
      <c r="K23" s="63"/>
      <c r="L23" s="63"/>
    </row>
    <row r="24" spans="2:14" x14ac:dyDescent="0.3">
      <c r="B24" s="63"/>
      <c r="C24" s="63"/>
      <c r="G24" s="63"/>
      <c r="H24" s="63"/>
      <c r="I24" s="63" t="s">
        <v>94</v>
      </c>
      <c r="J24" s="63"/>
      <c r="K24" s="63"/>
      <c r="L24" s="63"/>
    </row>
    <row r="25" spans="2:14" x14ac:dyDescent="0.3">
      <c r="B25" s="63"/>
      <c r="C25" s="63"/>
      <c r="D25" t="s">
        <v>91</v>
      </c>
      <c r="E25" s="83"/>
      <c r="G25" s="63"/>
      <c r="H25" s="63"/>
      <c r="I25" s="63"/>
      <c r="J25" s="63"/>
      <c r="K25" s="63"/>
      <c r="L25" s="63"/>
    </row>
    <row r="26" spans="2:14" x14ac:dyDescent="0.3">
      <c r="B26" s="63"/>
      <c r="C26" s="63"/>
      <c r="D26" t="s">
        <v>106</v>
      </c>
      <c r="G26" s="63"/>
      <c r="H26" s="63"/>
      <c r="I26" s="63"/>
      <c r="J26" s="63"/>
      <c r="K26" s="63"/>
      <c r="L26" s="63"/>
    </row>
    <row r="27" spans="2:14" x14ac:dyDescent="0.3">
      <c r="B27" s="63"/>
      <c r="C27" s="63"/>
      <c r="D27" t="s">
        <v>95</v>
      </c>
      <c r="G27" t="s">
        <v>96</v>
      </c>
    </row>
    <row r="28" spans="2:14" x14ac:dyDescent="0.3">
      <c r="D28" t="s">
        <v>97</v>
      </c>
      <c r="G28" t="s">
        <v>98</v>
      </c>
    </row>
    <row r="29" spans="2:14" x14ac:dyDescent="0.3">
      <c r="G29" t="s">
        <v>99</v>
      </c>
    </row>
    <row r="30" spans="2:14" x14ac:dyDescent="0.3">
      <c r="B30" s="63"/>
      <c r="C30" s="63"/>
      <c r="D30" t="s">
        <v>91</v>
      </c>
      <c r="E30" s="83"/>
    </row>
    <row r="31" spans="2:14" x14ac:dyDescent="0.3">
      <c r="B31" s="63"/>
      <c r="C31" s="63"/>
      <c r="D31" t="s">
        <v>107</v>
      </c>
    </row>
    <row r="33" spans="4:4" x14ac:dyDescent="0.3">
      <c r="D33" t="s">
        <v>100</v>
      </c>
    </row>
    <row r="34" spans="4:4" x14ac:dyDescent="0.3">
      <c r="D34" t="s">
        <v>101</v>
      </c>
    </row>
    <row r="36" spans="4:4" x14ac:dyDescent="0.3">
      <c r="D36" t="s">
        <v>102</v>
      </c>
    </row>
    <row r="37" spans="4:4" x14ac:dyDescent="0.3">
      <c r="D37" t="s">
        <v>103</v>
      </c>
    </row>
    <row r="82" spans="4:5" x14ac:dyDescent="0.3">
      <c r="D82" t="s">
        <v>104</v>
      </c>
      <c r="E82" t="s">
        <v>105</v>
      </c>
    </row>
  </sheetData>
  <mergeCells count="3">
    <mergeCell ref="G5:N5"/>
    <mergeCell ref="G9:J9"/>
    <mergeCell ref="K9:N9"/>
  </mergeCells>
  <pageMargins left="0.7" right="0.7" top="0.75" bottom="0.75" header="0.3" footer="0.3"/>
  <pageSetup paperSize="9" scale="65" orientation="portrait" r:id="rId1"/>
  <colBreaks count="1" manualBreakCount="1">
    <brk id="6" max="1048575" man="1"/>
  </colBreak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47850-16C1-4C12-8BD7-5B21503DE32D}">
  <dimension ref="A2:AA51"/>
  <sheetViews>
    <sheetView showGridLines="0" showRowColHeaders="0" topLeftCell="A9" zoomScale="160" zoomScaleNormal="160" zoomScaleSheetLayoutView="110" workbookViewId="0">
      <selection activeCell="B11" sqref="B11:B20"/>
    </sheetView>
  </sheetViews>
  <sheetFormatPr baseColWidth="10" defaultColWidth="11.5546875" defaultRowHeight="14.4" x14ac:dyDescent="0.3"/>
  <cols>
    <col min="2" max="2" width="23.77734375" customWidth="1"/>
    <col min="4" max="4" width="3" customWidth="1"/>
    <col min="5" max="5" width="5.5546875" customWidth="1"/>
    <col min="7" max="7" width="18.109375" bestFit="1" customWidth="1"/>
    <col min="8" max="8" width="51.44140625" bestFit="1" customWidth="1"/>
    <col min="9" max="9" width="18.33203125" customWidth="1"/>
    <col min="10" max="10" width="16.33203125" bestFit="1" customWidth="1"/>
    <col min="11" max="15" width="5.77734375" customWidth="1"/>
    <col min="16" max="16" width="20.44140625" customWidth="1"/>
    <col min="17" max="17" width="12.6640625" customWidth="1"/>
    <col min="22" max="22" width="3.33203125" customWidth="1"/>
  </cols>
  <sheetData>
    <row r="2" spans="2:27" x14ac:dyDescent="0.3">
      <c r="P2" s="1" t="s">
        <v>0</v>
      </c>
      <c r="Q2" s="2"/>
      <c r="R2" s="3"/>
      <c r="S2" s="4"/>
      <c r="T2" s="4"/>
      <c r="U2" s="4"/>
      <c r="V2" s="4"/>
    </row>
    <row r="3" spans="2:27" ht="29.4" thickBot="1" x14ac:dyDescent="0.45">
      <c r="O3" s="5">
        <v>3</v>
      </c>
      <c r="P3" s="6"/>
      <c r="Q3" s="7"/>
      <c r="R3" s="8"/>
      <c r="S3" s="7"/>
      <c r="T3" s="7"/>
      <c r="U3" s="7"/>
      <c r="V3" s="7"/>
      <c r="Z3" s="9" t="s">
        <v>1</v>
      </c>
      <c r="AA3" s="9" t="s">
        <v>2</v>
      </c>
    </row>
    <row r="4" spans="2:27" ht="34.200000000000003" thickBot="1" x14ac:dyDescent="0.7">
      <c r="G4" s="10" t="s">
        <v>3</v>
      </c>
      <c r="H4" s="11" t="s">
        <v>4</v>
      </c>
      <c r="I4" s="88"/>
      <c r="P4" s="12" t="s">
        <v>5</v>
      </c>
      <c r="Q4" s="7">
        <v>2</v>
      </c>
      <c r="R4" s="13" t="s">
        <v>125</v>
      </c>
      <c r="S4" s="14"/>
      <c r="T4" s="14"/>
      <c r="U4" s="14"/>
      <c r="V4" s="14"/>
      <c r="Z4" s="9" t="s">
        <v>6</v>
      </c>
      <c r="AA4" s="9">
        <f>2^0</f>
        <v>1</v>
      </c>
    </row>
    <row r="5" spans="2:27" ht="25.8" x14ac:dyDescent="0.5">
      <c r="F5" s="19"/>
      <c r="G5" s="116" t="s">
        <v>167</v>
      </c>
      <c r="H5" s="117"/>
      <c r="I5" s="89"/>
      <c r="P5" s="16" t="s">
        <v>7</v>
      </c>
      <c r="Q5" s="17"/>
      <c r="R5" s="18"/>
      <c r="S5" s="4"/>
      <c r="T5" s="4"/>
      <c r="U5" s="4"/>
      <c r="V5" s="4"/>
      <c r="Z5" s="9" t="s">
        <v>8</v>
      </c>
      <c r="AA5" s="9">
        <f>2^1</f>
        <v>2</v>
      </c>
    </row>
    <row r="6" spans="2:27" ht="25.8" x14ac:dyDescent="0.5">
      <c r="E6" s="19"/>
      <c r="F6" s="19"/>
      <c r="G6" s="118"/>
      <c r="H6" s="119"/>
      <c r="I6" s="90"/>
      <c r="U6">
        <v>32</v>
      </c>
      <c r="Z6" s="9" t="s">
        <v>9</v>
      </c>
      <c r="AA6" s="9">
        <f>2^2</f>
        <v>4</v>
      </c>
    </row>
    <row r="7" spans="2:27" ht="29.4" thickBot="1" x14ac:dyDescent="0.6">
      <c r="E7" s="19"/>
      <c r="F7" s="19"/>
      <c r="G7" s="120"/>
      <c r="H7" s="121"/>
      <c r="I7" s="67"/>
      <c r="J7" s="20"/>
      <c r="P7" s="21">
        <v>32</v>
      </c>
      <c r="Q7" s="22" t="s">
        <v>10</v>
      </c>
      <c r="U7" s="93">
        <v>11</v>
      </c>
      <c r="Z7" s="9" t="s">
        <v>11</v>
      </c>
      <c r="AA7" s="9">
        <f>2^3</f>
        <v>8</v>
      </c>
    </row>
    <row r="8" spans="2:27" ht="28.8" x14ac:dyDescent="0.55000000000000004">
      <c r="E8" s="19"/>
      <c r="F8" s="19"/>
      <c r="I8" s="67"/>
      <c r="P8" s="23">
        <v>9</v>
      </c>
      <c r="Q8" s="22" t="s">
        <v>12</v>
      </c>
      <c r="U8" s="87" t="s">
        <v>123</v>
      </c>
      <c r="Z8" s="9" t="s">
        <v>13</v>
      </c>
      <c r="AA8" s="9">
        <f>2^4</f>
        <v>16</v>
      </c>
    </row>
    <row r="9" spans="2:27" ht="28.8" x14ac:dyDescent="0.55000000000000004">
      <c r="E9" s="19"/>
      <c r="F9" s="19"/>
      <c r="I9" s="19"/>
      <c r="L9" s="21"/>
      <c r="M9" s="21"/>
      <c r="N9" s="21"/>
      <c r="O9" s="21"/>
      <c r="P9" s="23" t="s">
        <v>108</v>
      </c>
      <c r="Q9" s="22"/>
      <c r="Z9" s="9" t="s">
        <v>14</v>
      </c>
      <c r="AA9" s="9">
        <f>2^5</f>
        <v>32</v>
      </c>
    </row>
    <row r="10" spans="2:27" ht="28.8" x14ac:dyDescent="0.55000000000000004">
      <c r="B10" s="24" t="s">
        <v>15</v>
      </c>
      <c r="E10" s="25" t="s">
        <v>16</v>
      </c>
      <c r="F10" s="25" t="s">
        <v>17</v>
      </c>
      <c r="G10" s="26" t="s">
        <v>18</v>
      </c>
      <c r="H10" s="27" t="s">
        <v>19</v>
      </c>
      <c r="I10" s="25" t="s">
        <v>20</v>
      </c>
      <c r="J10" s="26" t="s">
        <v>21</v>
      </c>
      <c r="L10" s="23"/>
      <c r="M10" s="23"/>
      <c r="N10" s="23"/>
      <c r="O10" s="23"/>
      <c r="P10" s="28"/>
      <c r="Z10" s="9" t="s">
        <v>22</v>
      </c>
      <c r="AA10" s="9">
        <f>2^6</f>
        <v>64</v>
      </c>
    </row>
    <row r="11" spans="2:27" ht="29.4" thickBot="1" x14ac:dyDescent="0.6">
      <c r="B11" s="103">
        <v>3500</v>
      </c>
      <c r="E11" s="25">
        <v>0</v>
      </c>
      <c r="F11" s="92"/>
      <c r="G11" s="102"/>
      <c r="H11" s="30"/>
      <c r="I11" s="25"/>
      <c r="J11" s="31"/>
      <c r="L11" s="23"/>
      <c r="M11" s="23"/>
      <c r="N11" s="23"/>
      <c r="O11" s="5">
        <v>4</v>
      </c>
      <c r="Q11" s="32"/>
      <c r="R11" s="32"/>
      <c r="S11" s="32"/>
      <c r="T11" s="32"/>
      <c r="Z11" s="9" t="s">
        <v>23</v>
      </c>
      <c r="AA11" s="9">
        <f>2^7</f>
        <v>128</v>
      </c>
    </row>
    <row r="12" spans="2:27" ht="24.6" thickTop="1" thickBot="1" x14ac:dyDescent="0.5">
      <c r="B12" s="103">
        <v>70</v>
      </c>
      <c r="E12" s="25">
        <v>1</v>
      </c>
      <c r="F12" s="92"/>
      <c r="G12" s="29"/>
      <c r="H12" s="33"/>
      <c r="I12" s="25"/>
      <c r="J12" s="31"/>
      <c r="P12" s="34"/>
      <c r="Q12" s="35" t="s">
        <v>24</v>
      </c>
      <c r="R12" s="36" t="s">
        <v>25</v>
      </c>
      <c r="S12" s="37" t="s">
        <v>26</v>
      </c>
      <c r="T12" s="38" t="s">
        <v>27</v>
      </c>
      <c r="W12" s="122" t="s">
        <v>28</v>
      </c>
      <c r="X12" s="122"/>
      <c r="Z12" s="9" t="s">
        <v>29</v>
      </c>
      <c r="AA12" s="9">
        <f>2^8</f>
        <v>256</v>
      </c>
    </row>
    <row r="13" spans="2:27" ht="24" thickTop="1" x14ac:dyDescent="0.45">
      <c r="B13" s="103">
        <v>510</v>
      </c>
      <c r="E13" s="25">
        <v>2</v>
      </c>
      <c r="F13" s="92"/>
      <c r="G13" s="29"/>
      <c r="H13" s="33"/>
      <c r="I13" s="25"/>
      <c r="J13" s="31"/>
      <c r="K13" s="39"/>
      <c r="L13" s="39"/>
      <c r="M13" s="39"/>
      <c r="N13" s="39"/>
      <c r="O13" s="39"/>
      <c r="P13" s="40" t="s">
        <v>56</v>
      </c>
      <c r="Q13" s="94">
        <v>255</v>
      </c>
      <c r="R13" s="95">
        <v>255</v>
      </c>
      <c r="S13" s="96">
        <v>255</v>
      </c>
      <c r="T13" s="97">
        <v>255</v>
      </c>
      <c r="U13" s="9"/>
      <c r="V13" s="9"/>
      <c r="W13" s="41">
        <v>0</v>
      </c>
      <c r="X13" s="42" t="s">
        <v>30</v>
      </c>
      <c r="Y13" s="68">
        <v>0</v>
      </c>
      <c r="Z13" s="9" t="s">
        <v>31</v>
      </c>
      <c r="AA13" s="9">
        <f>2^9</f>
        <v>512</v>
      </c>
    </row>
    <row r="14" spans="2:27" ht="23.4" x14ac:dyDescent="0.45">
      <c r="B14" s="103">
        <v>900</v>
      </c>
      <c r="E14" s="25">
        <v>3</v>
      </c>
      <c r="F14" s="92"/>
      <c r="G14" s="29"/>
      <c r="H14" s="33"/>
      <c r="I14" s="25"/>
      <c r="J14" s="31"/>
      <c r="P14" s="40" t="s">
        <v>32</v>
      </c>
      <c r="Q14" s="43"/>
      <c r="R14" s="44"/>
      <c r="S14" s="45"/>
      <c r="T14" s="46"/>
      <c r="V14" s="9"/>
      <c r="W14" s="41">
        <v>128</v>
      </c>
      <c r="X14" s="42" t="s">
        <v>33</v>
      </c>
      <c r="Y14" s="68">
        <v>1</v>
      </c>
      <c r="Z14" s="9" t="s">
        <v>34</v>
      </c>
      <c r="AA14" s="9">
        <f>2^10</f>
        <v>1024</v>
      </c>
    </row>
    <row r="15" spans="2:27" ht="23.4" x14ac:dyDescent="0.45">
      <c r="B15" s="103">
        <v>800</v>
      </c>
      <c r="E15" s="25">
        <v>4</v>
      </c>
      <c r="F15" s="92"/>
      <c r="G15" s="29"/>
      <c r="H15" s="33"/>
      <c r="I15" s="29"/>
      <c r="J15" s="47"/>
      <c r="P15" s="40"/>
      <c r="Q15" s="43"/>
      <c r="R15" s="48"/>
      <c r="S15" s="45"/>
      <c r="T15" s="46"/>
      <c r="U15" s="49" t="s">
        <v>35</v>
      </c>
      <c r="V15" s="9"/>
      <c r="W15" s="41">
        <v>192</v>
      </c>
      <c r="X15" s="42" t="s">
        <v>36</v>
      </c>
      <c r="Y15" s="68">
        <v>2</v>
      </c>
      <c r="Z15" s="9" t="s">
        <v>37</v>
      </c>
      <c r="AA15" s="9">
        <f>2^11</f>
        <v>2048</v>
      </c>
    </row>
    <row r="16" spans="2:27" ht="24" thickBot="1" x14ac:dyDescent="0.5">
      <c r="B16" s="103">
        <v>1800</v>
      </c>
      <c r="E16" s="25">
        <v>5</v>
      </c>
      <c r="F16" s="92"/>
      <c r="G16" s="29"/>
      <c r="H16" s="33"/>
      <c r="I16" s="29"/>
      <c r="J16" s="47"/>
      <c r="P16" s="50"/>
      <c r="Q16" s="98"/>
      <c r="R16" s="99"/>
      <c r="S16" s="100"/>
      <c r="T16" s="101"/>
      <c r="U16" s="9"/>
      <c r="V16" s="9"/>
      <c r="W16" s="41">
        <v>224</v>
      </c>
      <c r="X16" s="42" t="s">
        <v>38</v>
      </c>
      <c r="Y16" s="68">
        <v>3</v>
      </c>
      <c r="Z16" s="9" t="s">
        <v>39</v>
      </c>
      <c r="AA16" s="9">
        <f>2^12</f>
        <v>4096</v>
      </c>
    </row>
    <row r="17" spans="1:27" ht="24" thickTop="1" x14ac:dyDescent="0.45">
      <c r="B17" s="103">
        <v>20</v>
      </c>
      <c r="E17" s="25">
        <v>6</v>
      </c>
      <c r="F17" s="92"/>
      <c r="G17" s="29"/>
      <c r="H17" s="33"/>
      <c r="I17" s="25"/>
      <c r="J17" s="47"/>
      <c r="U17" s="9"/>
      <c r="V17" s="9"/>
      <c r="W17" s="41">
        <v>240</v>
      </c>
      <c r="X17" s="42" t="s">
        <v>40</v>
      </c>
      <c r="Y17" s="68">
        <v>4</v>
      </c>
      <c r="Z17" s="9" t="s">
        <v>41</v>
      </c>
      <c r="AA17" s="9">
        <f>2^13</f>
        <v>8192</v>
      </c>
    </row>
    <row r="18" spans="1:27" ht="23.4" x14ac:dyDescent="0.45">
      <c r="B18" s="103">
        <v>30</v>
      </c>
      <c r="E18" s="25">
        <v>7</v>
      </c>
      <c r="F18" s="92"/>
      <c r="G18" s="29"/>
      <c r="H18" s="33"/>
      <c r="I18" s="25"/>
      <c r="J18" s="52"/>
      <c r="U18" s="9"/>
      <c r="V18" s="9"/>
      <c r="W18" s="41">
        <v>248</v>
      </c>
      <c r="X18" s="42" t="s">
        <v>42</v>
      </c>
      <c r="Y18" s="68">
        <v>5</v>
      </c>
      <c r="Z18" s="9" t="s">
        <v>43</v>
      </c>
      <c r="AA18" s="9">
        <f>2^14</f>
        <v>16384</v>
      </c>
    </row>
    <row r="19" spans="1:27" ht="28.8" x14ac:dyDescent="0.45">
      <c r="B19" s="103">
        <v>2</v>
      </c>
      <c r="E19" s="25">
        <v>8</v>
      </c>
      <c r="F19" s="92"/>
      <c r="G19" s="29"/>
      <c r="H19" s="33"/>
      <c r="I19" s="25"/>
      <c r="J19" s="52"/>
      <c r="K19" s="123" t="s">
        <v>44</v>
      </c>
      <c r="L19" s="124"/>
      <c r="M19" s="124"/>
      <c r="N19" s="124"/>
      <c r="O19" s="124"/>
      <c r="P19" s="124"/>
      <c r="Q19" s="5">
        <v>5</v>
      </c>
      <c r="V19" s="9"/>
      <c r="W19" s="41">
        <v>252</v>
      </c>
      <c r="X19" s="42" t="s">
        <v>45</v>
      </c>
      <c r="Y19" s="68">
        <v>6</v>
      </c>
    </row>
    <row r="20" spans="1:27" ht="23.4" x14ac:dyDescent="0.45">
      <c r="B20" s="103">
        <v>2</v>
      </c>
      <c r="E20" s="25">
        <v>9</v>
      </c>
      <c r="F20" s="51"/>
      <c r="G20" s="29"/>
      <c r="H20" s="33"/>
      <c r="I20" s="25"/>
      <c r="J20" s="52"/>
      <c r="Q20" s="15"/>
      <c r="V20" s="9"/>
      <c r="W20" s="41">
        <v>254</v>
      </c>
      <c r="X20" s="42" t="s">
        <v>46</v>
      </c>
      <c r="Y20" s="68">
        <v>7</v>
      </c>
    </row>
    <row r="21" spans="1:27" ht="23.4" x14ac:dyDescent="0.45">
      <c r="B21" s="103"/>
      <c r="E21" s="25">
        <v>10</v>
      </c>
      <c r="F21" s="92"/>
      <c r="G21" s="29"/>
      <c r="H21" s="33"/>
      <c r="I21" s="25"/>
      <c r="J21" s="52"/>
      <c r="L21" s="22"/>
      <c r="M21" s="22"/>
      <c r="N21" s="22"/>
      <c r="O21" s="22"/>
      <c r="P21" s="53" t="s">
        <v>47</v>
      </c>
      <c r="Q21" s="54"/>
      <c r="V21" s="9"/>
      <c r="W21" s="41">
        <v>255</v>
      </c>
      <c r="X21" s="42" t="s">
        <v>48</v>
      </c>
      <c r="Y21" s="68">
        <v>8</v>
      </c>
    </row>
    <row r="22" spans="1:27" ht="26.4" thickBot="1" x14ac:dyDescent="0.55000000000000004">
      <c r="B22" s="104"/>
      <c r="E22" s="25">
        <v>11</v>
      </c>
      <c r="F22" s="52"/>
      <c r="G22" s="29"/>
      <c r="H22" s="33"/>
      <c r="I22" s="25"/>
      <c r="J22" s="47"/>
      <c r="K22" s="55" t="s">
        <v>49</v>
      </c>
      <c r="L22" s="56"/>
      <c r="M22" s="56"/>
      <c r="N22" s="56"/>
      <c r="O22" s="56"/>
      <c r="P22" s="57" t="s">
        <v>35</v>
      </c>
      <c r="Q22" s="58"/>
      <c r="V22" s="9"/>
    </row>
    <row r="23" spans="1:27" ht="21" x14ac:dyDescent="0.4">
      <c r="E23" s="25">
        <v>12</v>
      </c>
      <c r="F23" s="59"/>
      <c r="G23" s="29"/>
      <c r="H23" s="33"/>
      <c r="I23" s="25"/>
      <c r="J23" s="60"/>
      <c r="L23" s="61"/>
      <c r="M23" s="61"/>
      <c r="N23" s="61"/>
      <c r="O23" s="61"/>
      <c r="P23" s="62" t="s">
        <v>50</v>
      </c>
      <c r="Q23" s="54"/>
      <c r="V23" s="9"/>
    </row>
    <row r="24" spans="1:27" ht="18" x14ac:dyDescent="0.35">
      <c r="A24">
        <v>35</v>
      </c>
      <c r="V24" s="9"/>
    </row>
    <row r="25" spans="1:27" ht="18" x14ac:dyDescent="0.35">
      <c r="B25" t="s">
        <v>112</v>
      </c>
      <c r="V25" s="9"/>
      <c r="X25" s="19"/>
      <c r="Y25" s="19"/>
    </row>
    <row r="26" spans="1:27" ht="18" x14ac:dyDescent="0.35">
      <c r="A26">
        <v>6</v>
      </c>
      <c r="V26" s="9"/>
      <c r="X26" s="19"/>
      <c r="Y26" s="19"/>
    </row>
    <row r="27" spans="1:27" ht="18" x14ac:dyDescent="0.35">
      <c r="E27" s="63"/>
      <c r="V27" s="9"/>
      <c r="X27" s="19"/>
      <c r="Y27" s="19"/>
    </row>
    <row r="28" spans="1:27" ht="18" x14ac:dyDescent="0.35">
      <c r="V28" s="9"/>
      <c r="X28" s="19"/>
      <c r="Y28" s="19"/>
    </row>
    <row r="29" spans="1:27" x14ac:dyDescent="0.3">
      <c r="J29" t="s">
        <v>51</v>
      </c>
    </row>
    <row r="30" spans="1:27" ht="21" x14ac:dyDescent="0.4">
      <c r="A30" s="125" t="s">
        <v>111</v>
      </c>
      <c r="B30" s="125"/>
      <c r="C30" s="125"/>
      <c r="D30" s="125"/>
      <c r="E30" s="125"/>
      <c r="F30" s="125"/>
    </row>
    <row r="31" spans="1:27" ht="21" x14ac:dyDescent="0.4">
      <c r="A31" s="64">
        <v>32</v>
      </c>
      <c r="B31" s="64"/>
      <c r="C31" s="125" t="s">
        <v>52</v>
      </c>
      <c r="D31" s="125"/>
      <c r="E31" s="125"/>
      <c r="F31" s="125"/>
    </row>
    <row r="32" spans="1:27" ht="21" x14ac:dyDescent="0.4">
      <c r="A32" s="64">
        <v>-25</v>
      </c>
      <c r="B32" s="64"/>
      <c r="C32" s="64"/>
      <c r="D32" s="64"/>
      <c r="E32" s="64"/>
      <c r="F32" s="64"/>
    </row>
    <row r="33" spans="1:9" ht="25.8" x14ac:dyDescent="0.5">
      <c r="A33" s="115" t="s">
        <v>113</v>
      </c>
      <c r="B33" s="115"/>
      <c r="C33" s="115"/>
      <c r="D33" s="115"/>
      <c r="E33" s="115"/>
      <c r="F33" s="115"/>
    </row>
    <row r="34" spans="1:9" ht="18.600000000000001" thickBot="1" x14ac:dyDescent="0.4">
      <c r="A34" s="65">
        <v>7</v>
      </c>
      <c r="B34" s="65" t="s">
        <v>114</v>
      </c>
      <c r="C34" s="65"/>
      <c r="D34" s="65"/>
      <c r="E34" s="65"/>
      <c r="F34" s="65"/>
    </row>
    <row r="35" spans="1:9" ht="35.4" customHeight="1" thickBot="1" x14ac:dyDescent="0.35">
      <c r="A35" s="130" t="s">
        <v>53</v>
      </c>
      <c r="B35" s="131"/>
      <c r="C35" s="131"/>
      <c r="D35" s="131"/>
      <c r="E35" s="131"/>
      <c r="F35" s="132"/>
    </row>
    <row r="37" spans="1:9" ht="15.6" x14ac:dyDescent="0.3">
      <c r="C37" s="128" t="s">
        <v>109</v>
      </c>
      <c r="D37" s="129"/>
      <c r="E37" s="66">
        <v>62000</v>
      </c>
    </row>
    <row r="38" spans="1:9" ht="15.6" x14ac:dyDescent="0.3">
      <c r="A38" s="136"/>
      <c r="B38" s="137"/>
      <c r="C38" s="128" t="s">
        <v>110</v>
      </c>
      <c r="D38" s="129"/>
      <c r="E38" s="66">
        <v>2048</v>
      </c>
      <c r="H38" s="19"/>
      <c r="I38" s="19"/>
    </row>
    <row r="39" spans="1:9" ht="15.6" x14ac:dyDescent="0.3">
      <c r="A39" s="136"/>
      <c r="B39" s="137"/>
      <c r="C39" s="128"/>
      <c r="D39" s="129"/>
      <c r="E39" s="66"/>
    </row>
    <row r="40" spans="1:9" ht="15.6" x14ac:dyDescent="0.3">
      <c r="A40" s="136"/>
      <c r="B40" s="137"/>
      <c r="C40" s="128"/>
      <c r="D40" s="129"/>
      <c r="E40" s="66"/>
    </row>
    <row r="41" spans="1:9" ht="15.6" x14ac:dyDescent="0.3">
      <c r="C41" s="128"/>
      <c r="D41" s="129"/>
      <c r="E41" s="66"/>
    </row>
    <row r="42" spans="1:9" ht="15.6" x14ac:dyDescent="0.3">
      <c r="C42" s="128"/>
      <c r="D42" s="129"/>
      <c r="E42" s="66"/>
    </row>
    <row r="43" spans="1:9" ht="15.6" x14ac:dyDescent="0.3">
      <c r="E43" s="66"/>
    </row>
    <row r="44" spans="1:9" ht="15.6" x14ac:dyDescent="0.3">
      <c r="E44" s="66"/>
    </row>
    <row r="47" spans="1:9" ht="33.6" x14ac:dyDescent="0.65">
      <c r="B47" s="86" t="s">
        <v>116</v>
      </c>
      <c r="C47" s="63" t="s">
        <v>88</v>
      </c>
    </row>
    <row r="48" spans="1:9" ht="33.6" x14ac:dyDescent="0.65">
      <c r="B48" s="86" t="s">
        <v>117</v>
      </c>
      <c r="C48" s="63" t="s">
        <v>73</v>
      </c>
    </row>
    <row r="49" spans="2:3" ht="33.6" x14ac:dyDescent="0.65">
      <c r="B49" s="86" t="s">
        <v>115</v>
      </c>
      <c r="C49" s="63" t="s">
        <v>72</v>
      </c>
    </row>
    <row r="50" spans="2:3" ht="33.6" x14ac:dyDescent="0.65">
      <c r="B50" s="86" t="s">
        <v>118</v>
      </c>
      <c r="C50" s="63" t="s">
        <v>72</v>
      </c>
    </row>
    <row r="51" spans="2:3" x14ac:dyDescent="0.3">
      <c r="B51" s="63"/>
      <c r="C51" s="63"/>
    </row>
  </sheetData>
  <mergeCells count="16">
    <mergeCell ref="A40:B40"/>
    <mergeCell ref="C40:D40"/>
    <mergeCell ref="C41:D41"/>
    <mergeCell ref="C42:D42"/>
    <mergeCell ref="A35:F35"/>
    <mergeCell ref="C37:D37"/>
    <mergeCell ref="A38:B38"/>
    <mergeCell ref="C38:D38"/>
    <mergeCell ref="A39:B39"/>
    <mergeCell ref="C39:D39"/>
    <mergeCell ref="A33:F33"/>
    <mergeCell ref="G5:H7"/>
    <mergeCell ref="W12:X12"/>
    <mergeCell ref="K19:P19"/>
    <mergeCell ref="A30:F30"/>
    <mergeCell ref="C31:F31"/>
  </mergeCells>
  <phoneticPr fontId="34" type="noConversion"/>
  <pageMargins left="0.7" right="0.7" top="0.75" bottom="0.75" header="0.3" footer="0.3"/>
  <pageSetup paperSize="9" scale="51" orientation="portrait" horizontalDpi="360" verticalDpi="360" r:id="rId1"/>
  <colBreaks count="1" manualBreakCount="1">
    <brk id="10" max="51" man="1"/>
  </colBreaks>
  <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B5C8-30FD-4D5C-9F01-5C8D12ABC7C8}">
  <dimension ref="A2:AA51"/>
  <sheetViews>
    <sheetView showGridLines="0" showRowColHeaders="0" tabSelected="1" topLeftCell="A2" zoomScale="130" zoomScaleNormal="130" zoomScaleSheetLayoutView="110" workbookViewId="0">
      <selection activeCell="G5" sqref="G5:H7"/>
    </sheetView>
  </sheetViews>
  <sheetFormatPr baseColWidth="10" defaultColWidth="11.5546875" defaultRowHeight="14.4" x14ac:dyDescent="0.3"/>
  <cols>
    <col min="2" max="2" width="23.77734375" customWidth="1"/>
    <col min="4" max="4" width="3" customWidth="1"/>
    <col min="5" max="5" width="5.5546875" customWidth="1"/>
    <col min="7" max="7" width="18.109375" bestFit="1" customWidth="1"/>
    <col min="8" max="8" width="51.44140625" bestFit="1" customWidth="1"/>
    <col min="9" max="9" width="18.33203125" customWidth="1"/>
    <col min="10" max="10" width="16.33203125" bestFit="1" customWidth="1"/>
    <col min="11" max="15" width="5.77734375" customWidth="1"/>
    <col min="16" max="16" width="20.44140625" customWidth="1"/>
    <col min="17" max="17" width="12.6640625" customWidth="1"/>
    <col min="22" max="22" width="3.33203125" customWidth="1"/>
  </cols>
  <sheetData>
    <row r="2" spans="2:27" x14ac:dyDescent="0.3">
      <c r="P2" s="1" t="s">
        <v>0</v>
      </c>
      <c r="Q2" s="2"/>
      <c r="R2" s="3"/>
      <c r="S2" s="4"/>
      <c r="T2" s="4"/>
      <c r="U2" s="4"/>
      <c r="V2" s="4"/>
    </row>
    <row r="3" spans="2:27" ht="29.4" thickBot="1" x14ac:dyDescent="0.45">
      <c r="O3" s="5">
        <v>3</v>
      </c>
      <c r="P3" s="6"/>
      <c r="Q3" s="7"/>
      <c r="R3" s="8"/>
      <c r="S3" s="7"/>
      <c r="T3" s="7"/>
      <c r="U3" s="7"/>
      <c r="V3" s="7"/>
      <c r="Z3" s="9" t="s">
        <v>1</v>
      </c>
      <c r="AA3" s="9" t="s">
        <v>2</v>
      </c>
    </row>
    <row r="4" spans="2:27" ht="34.200000000000003" thickBot="1" x14ac:dyDescent="0.7">
      <c r="G4" s="10" t="s">
        <v>3</v>
      </c>
      <c r="H4" s="11" t="s">
        <v>4</v>
      </c>
      <c r="I4" s="88"/>
      <c r="P4" s="12" t="s">
        <v>5</v>
      </c>
      <c r="Q4" s="7">
        <v>2</v>
      </c>
      <c r="R4" s="13" t="s">
        <v>125</v>
      </c>
      <c r="S4" s="14"/>
      <c r="T4" s="14"/>
      <c r="U4" s="14"/>
      <c r="V4" s="14"/>
      <c r="Z4" s="9" t="s">
        <v>6</v>
      </c>
      <c r="AA4" s="9">
        <f>2^0</f>
        <v>1</v>
      </c>
    </row>
    <row r="5" spans="2:27" ht="25.8" x14ac:dyDescent="0.5">
      <c r="F5" s="19"/>
      <c r="G5" s="116" t="s">
        <v>128</v>
      </c>
      <c r="H5" s="117"/>
      <c r="I5" s="89"/>
      <c r="P5" s="16" t="s">
        <v>7</v>
      </c>
      <c r="Q5" s="17"/>
      <c r="R5" s="18"/>
      <c r="S5" s="4"/>
      <c r="T5" s="4"/>
      <c r="U5" s="4"/>
      <c r="V5" s="4"/>
      <c r="Z5" s="9" t="s">
        <v>8</v>
      </c>
      <c r="AA5" s="9">
        <f>2^1</f>
        <v>2</v>
      </c>
    </row>
    <row r="6" spans="2:27" ht="25.8" x14ac:dyDescent="0.5">
      <c r="E6" s="19"/>
      <c r="F6" s="19"/>
      <c r="G6" s="118"/>
      <c r="H6" s="119"/>
      <c r="I6" s="90">
        <v>11</v>
      </c>
      <c r="U6">
        <v>32</v>
      </c>
      <c r="Z6" s="9" t="s">
        <v>9</v>
      </c>
      <c r="AA6" s="9">
        <f>2^2</f>
        <v>4</v>
      </c>
    </row>
    <row r="7" spans="2:27" ht="29.4" thickBot="1" x14ac:dyDescent="0.6">
      <c r="E7" s="19"/>
      <c r="F7" s="19"/>
      <c r="G7" s="120"/>
      <c r="H7" s="121"/>
      <c r="I7" s="67"/>
      <c r="J7" s="20"/>
      <c r="P7" s="21">
        <v>32</v>
      </c>
      <c r="Q7" s="22" t="s">
        <v>10</v>
      </c>
      <c r="U7" s="93">
        <v>11</v>
      </c>
      <c r="Z7" s="9" t="s">
        <v>11</v>
      </c>
      <c r="AA7" s="9">
        <f>2^3</f>
        <v>8</v>
      </c>
    </row>
    <row r="8" spans="2:27" ht="28.8" x14ac:dyDescent="0.55000000000000004">
      <c r="E8" s="19"/>
      <c r="F8" s="19"/>
      <c r="I8" s="67"/>
      <c r="P8" s="23">
        <v>9</v>
      </c>
      <c r="Q8" s="22" t="s">
        <v>12</v>
      </c>
      <c r="U8" s="87" t="s">
        <v>123</v>
      </c>
      <c r="Z8" s="9" t="s">
        <v>13</v>
      </c>
      <c r="AA8" s="9">
        <f>2^4</f>
        <v>16</v>
      </c>
    </row>
    <row r="9" spans="2:27" ht="28.8" x14ac:dyDescent="0.55000000000000004">
      <c r="E9" s="19"/>
      <c r="F9" s="19"/>
      <c r="I9" s="19"/>
      <c r="L9" s="21"/>
      <c r="M9" s="21"/>
      <c r="N9" s="21"/>
      <c r="O9" s="21"/>
      <c r="P9" s="23" t="s">
        <v>108</v>
      </c>
      <c r="Q9" s="22"/>
      <c r="Z9" s="9" t="s">
        <v>14</v>
      </c>
      <c r="AA9" s="9">
        <f>2^5</f>
        <v>32</v>
      </c>
    </row>
    <row r="10" spans="2:27" ht="28.8" x14ac:dyDescent="0.55000000000000004">
      <c r="B10" s="24" t="s">
        <v>15</v>
      </c>
      <c r="E10" s="25" t="s">
        <v>16</v>
      </c>
      <c r="F10" s="25" t="s">
        <v>17</v>
      </c>
      <c r="G10" s="26" t="s">
        <v>18</v>
      </c>
      <c r="H10" s="27" t="s">
        <v>19</v>
      </c>
      <c r="I10" s="25" t="s">
        <v>20</v>
      </c>
      <c r="J10" s="26" t="s">
        <v>21</v>
      </c>
      <c r="L10" s="23"/>
      <c r="M10" s="23"/>
      <c r="N10" s="23"/>
      <c r="O10" s="23"/>
      <c r="P10" s="28"/>
      <c r="Z10" s="9" t="s">
        <v>22</v>
      </c>
      <c r="AA10" s="9">
        <f>2^6</f>
        <v>64</v>
      </c>
    </row>
    <row r="11" spans="2:27" ht="29.4" thickBot="1" x14ac:dyDescent="0.6">
      <c r="B11" s="114">
        <v>200</v>
      </c>
      <c r="C11">
        <v>256</v>
      </c>
      <c r="E11" s="25">
        <v>0</v>
      </c>
      <c r="F11" s="92"/>
      <c r="G11" s="102"/>
      <c r="H11" s="30"/>
      <c r="I11" s="25"/>
      <c r="J11" s="31"/>
      <c r="L11" s="23"/>
      <c r="M11" s="23"/>
      <c r="N11" s="23"/>
      <c r="O11" s="5">
        <v>4</v>
      </c>
      <c r="Q11" s="32"/>
      <c r="R11" s="32"/>
      <c r="S11" s="32"/>
      <c r="T11" s="32"/>
      <c r="Z11" s="9" t="s">
        <v>23</v>
      </c>
      <c r="AA11" s="9">
        <f>2^7</f>
        <v>128</v>
      </c>
    </row>
    <row r="12" spans="2:27" ht="22.2" thickTop="1" thickBot="1" x14ac:dyDescent="0.45">
      <c r="B12" s="113">
        <v>120</v>
      </c>
      <c r="C12">
        <v>128</v>
      </c>
      <c r="E12" s="25">
        <v>1</v>
      </c>
      <c r="F12" s="92"/>
      <c r="G12" s="29"/>
      <c r="H12" s="33"/>
      <c r="I12" s="25"/>
      <c r="J12" s="31"/>
      <c r="P12" s="34"/>
      <c r="Q12" s="35" t="s">
        <v>24</v>
      </c>
      <c r="R12" s="36" t="s">
        <v>25</v>
      </c>
      <c r="S12" s="37" t="s">
        <v>26</v>
      </c>
      <c r="T12" s="38" t="s">
        <v>27</v>
      </c>
      <c r="W12" s="122" t="s">
        <v>28</v>
      </c>
      <c r="X12" s="122"/>
      <c r="Z12" s="9" t="s">
        <v>29</v>
      </c>
      <c r="AA12" s="9">
        <f>2^8</f>
        <v>256</v>
      </c>
    </row>
    <row r="13" spans="2:27" ht="21.6" thickTop="1" x14ac:dyDescent="0.4">
      <c r="B13" s="113">
        <v>500</v>
      </c>
      <c r="C13">
        <v>512</v>
      </c>
      <c r="E13" s="25">
        <v>2</v>
      </c>
      <c r="F13" s="92"/>
      <c r="G13" s="29"/>
      <c r="H13" s="33"/>
      <c r="I13" s="25"/>
      <c r="J13" s="31"/>
      <c r="K13" s="39"/>
      <c r="L13" s="39"/>
      <c r="M13" s="39"/>
      <c r="N13" s="39">
        <v>32</v>
      </c>
      <c r="O13" s="39"/>
      <c r="P13" s="40" t="s">
        <v>56</v>
      </c>
      <c r="Q13" s="94">
        <v>255</v>
      </c>
      <c r="R13" s="95">
        <v>255</v>
      </c>
      <c r="S13" s="96">
        <v>255</v>
      </c>
      <c r="T13" s="97">
        <v>255</v>
      </c>
      <c r="U13" s="9"/>
      <c r="V13" s="9"/>
      <c r="W13" s="41">
        <v>0</v>
      </c>
      <c r="X13" s="42" t="s">
        <v>30</v>
      </c>
      <c r="Y13" s="68">
        <v>0</v>
      </c>
      <c r="Z13" s="9" t="s">
        <v>31</v>
      </c>
      <c r="AA13" s="9">
        <f>2^9</f>
        <v>512</v>
      </c>
    </row>
    <row r="14" spans="2:27" ht="21" x14ac:dyDescent="0.4">
      <c r="B14" s="113">
        <v>700</v>
      </c>
      <c r="C14">
        <v>1024</v>
      </c>
      <c r="E14" s="25">
        <v>3</v>
      </c>
      <c r="F14" s="92"/>
      <c r="G14" s="29"/>
      <c r="H14" s="33"/>
      <c r="I14" s="25"/>
      <c r="J14" s="31"/>
      <c r="N14">
        <v>-30</v>
      </c>
      <c r="P14" s="40" t="s">
        <v>32</v>
      </c>
      <c r="Q14" s="43">
        <v>255</v>
      </c>
      <c r="R14" s="44">
        <v>255</v>
      </c>
      <c r="S14" s="45">
        <v>255</v>
      </c>
      <c r="T14" s="46">
        <v>128</v>
      </c>
      <c r="V14" s="9"/>
      <c r="W14" s="41">
        <v>128</v>
      </c>
      <c r="X14" s="42" t="s">
        <v>33</v>
      </c>
      <c r="Y14" s="68">
        <v>1</v>
      </c>
      <c r="Z14" s="9" t="s">
        <v>34</v>
      </c>
      <c r="AA14" s="9">
        <f>2^10</f>
        <v>1024</v>
      </c>
    </row>
    <row r="15" spans="2:27" ht="21" x14ac:dyDescent="0.4">
      <c r="B15" s="114">
        <v>20</v>
      </c>
      <c r="C15">
        <v>32</v>
      </c>
      <c r="E15" s="25">
        <v>4</v>
      </c>
      <c r="F15" s="92"/>
      <c r="G15" s="29"/>
      <c r="H15" s="33"/>
      <c r="I15" s="29"/>
      <c r="J15" s="47"/>
      <c r="N15">
        <v>2</v>
      </c>
      <c r="P15" s="40"/>
      <c r="Q15" s="43">
        <v>0</v>
      </c>
      <c r="R15" s="48">
        <v>0</v>
      </c>
      <c r="S15" s="45">
        <v>0</v>
      </c>
      <c r="T15" s="46">
        <v>127</v>
      </c>
      <c r="U15" s="49" t="s">
        <v>35</v>
      </c>
      <c r="V15" s="9"/>
      <c r="W15" s="41">
        <v>192</v>
      </c>
      <c r="X15" s="42" t="s">
        <v>36</v>
      </c>
      <c r="Y15" s="68">
        <v>2</v>
      </c>
      <c r="Z15" s="9" t="s">
        <v>37</v>
      </c>
      <c r="AA15" s="9">
        <f>2^11</f>
        <v>2048</v>
      </c>
    </row>
    <row r="16" spans="2:27" ht="21.6" thickBot="1" x14ac:dyDescent="0.45">
      <c r="B16" s="114">
        <v>8</v>
      </c>
      <c r="C16">
        <v>16</v>
      </c>
      <c r="E16" s="25">
        <v>5</v>
      </c>
      <c r="F16" s="92"/>
      <c r="G16" s="29"/>
      <c r="H16" s="33"/>
      <c r="I16" s="29"/>
      <c r="J16" s="47"/>
      <c r="P16" s="50"/>
      <c r="Q16" s="98"/>
      <c r="R16" s="99"/>
      <c r="S16" s="100"/>
      <c r="T16" s="101"/>
      <c r="U16" s="9"/>
      <c r="V16" s="9"/>
      <c r="W16" s="41">
        <v>224</v>
      </c>
      <c r="X16" s="42" t="s">
        <v>38</v>
      </c>
      <c r="Y16" s="68">
        <v>3</v>
      </c>
      <c r="Z16" s="9" t="s">
        <v>39</v>
      </c>
      <c r="AA16" s="9">
        <f>2^12</f>
        <v>4096</v>
      </c>
    </row>
    <row r="17" spans="1:27" ht="21.6" thickTop="1" x14ac:dyDescent="0.4">
      <c r="B17" s="114">
        <v>2</v>
      </c>
      <c r="C17">
        <v>4</v>
      </c>
      <c r="E17" s="25">
        <v>6</v>
      </c>
      <c r="F17" s="92"/>
      <c r="G17" s="29"/>
      <c r="H17" s="33"/>
      <c r="I17" s="25"/>
      <c r="J17" s="47"/>
      <c r="U17" s="9"/>
      <c r="V17" s="9"/>
      <c r="W17" s="41">
        <v>240</v>
      </c>
      <c r="X17" s="42" t="s">
        <v>40</v>
      </c>
      <c r="Y17" s="68">
        <v>4</v>
      </c>
      <c r="Z17" s="9" t="s">
        <v>41</v>
      </c>
      <c r="AA17" s="9">
        <f>2^13</f>
        <v>8192</v>
      </c>
    </row>
    <row r="18" spans="1:27" ht="21" x14ac:dyDescent="0.4">
      <c r="B18" s="114">
        <v>2</v>
      </c>
      <c r="C18">
        <v>4</v>
      </c>
      <c r="E18" s="25">
        <v>7</v>
      </c>
      <c r="F18" s="92"/>
      <c r="G18" s="29"/>
      <c r="H18" s="33"/>
      <c r="I18" s="25"/>
      <c r="J18" s="52"/>
      <c r="U18" s="9"/>
      <c r="V18" s="9"/>
      <c r="W18" s="41">
        <v>248</v>
      </c>
      <c r="X18" s="42" t="s">
        <v>42</v>
      </c>
      <c r="Y18" s="68">
        <v>5</v>
      </c>
      <c r="Z18" s="9" t="s">
        <v>43</v>
      </c>
      <c r="AA18" s="9">
        <f>2^14</f>
        <v>16384</v>
      </c>
    </row>
    <row r="19" spans="1:27" ht="28.8" x14ac:dyDescent="0.35">
      <c r="B19" s="91"/>
      <c r="E19" s="25">
        <v>8</v>
      </c>
      <c r="F19" s="92"/>
      <c r="G19" s="29"/>
      <c r="H19" s="33"/>
      <c r="I19" s="25"/>
      <c r="J19" s="52"/>
      <c r="K19" s="123" t="s">
        <v>44</v>
      </c>
      <c r="L19" s="124"/>
      <c r="M19" s="124"/>
      <c r="N19" s="124"/>
      <c r="O19" s="124"/>
      <c r="P19" s="124"/>
      <c r="Q19" s="5">
        <v>5</v>
      </c>
      <c r="V19" s="9"/>
      <c r="W19" s="41">
        <v>252</v>
      </c>
      <c r="X19" s="42" t="s">
        <v>45</v>
      </c>
      <c r="Y19" s="68">
        <v>6</v>
      </c>
    </row>
    <row r="20" spans="1:27" ht="23.4" x14ac:dyDescent="0.45">
      <c r="B20" s="91"/>
      <c r="E20" s="25">
        <v>9</v>
      </c>
      <c r="F20" s="51"/>
      <c r="G20" s="29"/>
      <c r="H20" s="33"/>
      <c r="I20" s="25"/>
      <c r="J20" s="52"/>
      <c r="Q20" s="15"/>
      <c r="V20" s="9"/>
      <c r="W20" s="41">
        <v>254</v>
      </c>
      <c r="X20" s="42" t="s">
        <v>46</v>
      </c>
      <c r="Y20" s="68">
        <v>7</v>
      </c>
    </row>
    <row r="21" spans="1:27" ht="21" x14ac:dyDescent="0.4">
      <c r="B21" s="91"/>
      <c r="E21" s="25">
        <v>10</v>
      </c>
      <c r="F21" s="92"/>
      <c r="G21" s="29"/>
      <c r="H21" s="33"/>
      <c r="I21" s="25"/>
      <c r="J21" s="52"/>
      <c r="L21" s="22"/>
      <c r="M21" s="22"/>
      <c r="N21" s="22"/>
      <c r="O21" s="22"/>
      <c r="P21" s="53" t="s">
        <v>47</v>
      </c>
      <c r="Q21" s="54"/>
      <c r="V21" s="9"/>
      <c r="W21" s="41">
        <v>255</v>
      </c>
      <c r="X21" s="42" t="s">
        <v>48</v>
      </c>
      <c r="Y21" s="68">
        <v>8</v>
      </c>
    </row>
    <row r="22" spans="1:27" ht="26.4" thickBot="1" x14ac:dyDescent="0.55000000000000004">
      <c r="B22" s="91"/>
      <c r="E22" s="25">
        <v>11</v>
      </c>
      <c r="F22" s="52"/>
      <c r="G22" s="29"/>
      <c r="H22" s="33"/>
      <c r="I22" s="25"/>
      <c r="J22" s="47"/>
      <c r="K22" s="55" t="s">
        <v>49</v>
      </c>
      <c r="L22" s="56"/>
      <c r="M22" s="56"/>
      <c r="N22" s="56"/>
      <c r="O22" s="56"/>
      <c r="P22" s="57" t="s">
        <v>35</v>
      </c>
      <c r="Q22" s="58"/>
      <c r="V22" s="9"/>
    </row>
    <row r="23" spans="1:27" ht="21" x14ac:dyDescent="0.4">
      <c r="E23" s="25">
        <v>12</v>
      </c>
      <c r="F23" s="59"/>
      <c r="G23" s="29"/>
      <c r="H23" s="33"/>
      <c r="I23" s="25"/>
      <c r="J23" s="60"/>
      <c r="L23" s="61"/>
      <c r="M23" s="61"/>
      <c r="N23" s="61"/>
      <c r="O23" s="61"/>
      <c r="P23" s="62" t="s">
        <v>50</v>
      </c>
      <c r="Q23" s="54"/>
      <c r="V23" s="9"/>
    </row>
    <row r="24" spans="1:27" ht="18" x14ac:dyDescent="0.35">
      <c r="V24" s="9"/>
    </row>
    <row r="25" spans="1:27" ht="18" x14ac:dyDescent="0.35">
      <c r="V25" s="9"/>
      <c r="X25" s="19"/>
      <c r="Y25" s="19"/>
    </row>
    <row r="26" spans="1:27" ht="18" x14ac:dyDescent="0.35">
      <c r="V26" s="9"/>
      <c r="X26" s="19"/>
      <c r="Y26" s="19"/>
    </row>
    <row r="27" spans="1:27" ht="18" x14ac:dyDescent="0.35">
      <c r="E27" s="63"/>
      <c r="V27" s="9"/>
      <c r="X27" s="19"/>
      <c r="Y27" s="19"/>
    </row>
    <row r="28" spans="1:27" ht="18" x14ac:dyDescent="0.35">
      <c r="V28" s="9"/>
      <c r="X28" s="19"/>
      <c r="Y28" s="19"/>
    </row>
    <row r="29" spans="1:27" x14ac:dyDescent="0.3">
      <c r="J29" t="s">
        <v>51</v>
      </c>
    </row>
    <row r="30" spans="1:27" ht="21" x14ac:dyDescent="0.4">
      <c r="A30" s="125" t="s">
        <v>111</v>
      </c>
      <c r="B30" s="125"/>
      <c r="C30" s="125"/>
      <c r="D30" s="125"/>
      <c r="E30" s="125"/>
      <c r="F30" s="125"/>
    </row>
    <row r="31" spans="1:27" ht="21" x14ac:dyDescent="0.4">
      <c r="A31" s="64">
        <v>32</v>
      </c>
      <c r="B31" s="64"/>
      <c r="C31" s="125" t="s">
        <v>52</v>
      </c>
      <c r="D31" s="125"/>
      <c r="E31" s="125"/>
      <c r="F31" s="125"/>
    </row>
    <row r="32" spans="1:27" ht="21" x14ac:dyDescent="0.4">
      <c r="A32" s="64">
        <v>-25</v>
      </c>
      <c r="B32" s="64"/>
      <c r="C32" s="64"/>
      <c r="D32" s="64"/>
      <c r="E32" s="64"/>
      <c r="F32" s="64"/>
    </row>
    <row r="33" spans="1:9" ht="25.8" x14ac:dyDescent="0.5">
      <c r="A33" s="115" t="s">
        <v>113</v>
      </c>
      <c r="B33" s="115"/>
      <c r="C33" s="115"/>
      <c r="D33" s="115"/>
      <c r="E33" s="115"/>
      <c r="F33" s="115"/>
    </row>
    <row r="34" spans="1:9" ht="18.600000000000001" thickBot="1" x14ac:dyDescent="0.4">
      <c r="A34" s="65">
        <v>7</v>
      </c>
      <c r="B34" s="65" t="s">
        <v>114</v>
      </c>
      <c r="C34" s="65"/>
      <c r="D34" s="65"/>
      <c r="E34" s="65"/>
      <c r="F34" s="65"/>
    </row>
    <row r="35" spans="1:9" ht="35.4" customHeight="1" thickBot="1" x14ac:dyDescent="0.35">
      <c r="A35" s="130" t="s">
        <v>53</v>
      </c>
      <c r="B35" s="131"/>
      <c r="C35" s="131"/>
      <c r="D35" s="131"/>
      <c r="E35" s="131"/>
      <c r="F35" s="132"/>
    </row>
    <row r="37" spans="1:9" ht="15.6" x14ac:dyDescent="0.3">
      <c r="C37" s="128" t="s">
        <v>109</v>
      </c>
      <c r="D37" s="129"/>
      <c r="E37" s="66">
        <v>62000</v>
      </c>
    </row>
    <row r="38" spans="1:9" ht="15.6" x14ac:dyDescent="0.3">
      <c r="A38" s="136"/>
      <c r="B38" s="137"/>
      <c r="C38" s="128" t="s">
        <v>110</v>
      </c>
      <c r="D38" s="129"/>
      <c r="E38" s="66">
        <v>2048</v>
      </c>
      <c r="H38" s="19"/>
      <c r="I38" s="19"/>
    </row>
    <row r="39" spans="1:9" ht="15.6" x14ac:dyDescent="0.3">
      <c r="A39" s="136"/>
      <c r="B39" s="137"/>
      <c r="C39" s="128"/>
      <c r="D39" s="129"/>
      <c r="E39" s="66"/>
    </row>
    <row r="40" spans="1:9" ht="15.6" x14ac:dyDescent="0.3">
      <c r="A40" s="136"/>
      <c r="B40" s="137"/>
      <c r="C40" s="128"/>
      <c r="D40" s="129"/>
      <c r="E40" s="66"/>
    </row>
    <row r="41" spans="1:9" ht="15.6" x14ac:dyDescent="0.3">
      <c r="C41" s="128"/>
      <c r="D41" s="129"/>
      <c r="E41" s="66"/>
    </row>
    <row r="42" spans="1:9" ht="15.6" x14ac:dyDescent="0.3">
      <c r="C42" s="128"/>
      <c r="D42" s="129"/>
      <c r="E42" s="66"/>
    </row>
    <row r="43" spans="1:9" ht="15.6" x14ac:dyDescent="0.3">
      <c r="E43" s="66"/>
    </row>
    <row r="44" spans="1:9" ht="15.6" x14ac:dyDescent="0.3">
      <c r="E44" s="66"/>
    </row>
    <row r="47" spans="1:9" ht="33.6" x14ac:dyDescent="0.65">
      <c r="B47" s="86" t="s">
        <v>116</v>
      </c>
      <c r="C47" s="63" t="s">
        <v>88</v>
      </c>
    </row>
    <row r="48" spans="1:9" ht="33.6" x14ac:dyDescent="0.65">
      <c r="B48" s="86" t="s">
        <v>117</v>
      </c>
      <c r="C48" s="63" t="s">
        <v>73</v>
      </c>
    </row>
    <row r="49" spans="2:3" ht="33.6" x14ac:dyDescent="0.65">
      <c r="B49" s="86" t="s">
        <v>115</v>
      </c>
      <c r="C49" s="63" t="s">
        <v>72</v>
      </c>
    </row>
    <row r="50" spans="2:3" ht="33.6" x14ac:dyDescent="0.65">
      <c r="B50" s="86" t="s">
        <v>118</v>
      </c>
      <c r="C50" s="63" t="s">
        <v>72</v>
      </c>
    </row>
    <row r="51" spans="2:3" x14ac:dyDescent="0.3">
      <c r="B51" s="63"/>
      <c r="C51" s="63"/>
    </row>
  </sheetData>
  <mergeCells count="16">
    <mergeCell ref="A40:B40"/>
    <mergeCell ref="C40:D40"/>
    <mergeCell ref="C41:D41"/>
    <mergeCell ref="C42:D42"/>
    <mergeCell ref="A35:F35"/>
    <mergeCell ref="C37:D37"/>
    <mergeCell ref="A38:B38"/>
    <mergeCell ref="C38:D38"/>
    <mergeCell ref="A39:B39"/>
    <mergeCell ref="C39:D39"/>
    <mergeCell ref="A33:F33"/>
    <mergeCell ref="G5:H7"/>
    <mergeCell ref="W12:X12"/>
    <mergeCell ref="K19:P19"/>
    <mergeCell ref="A30:F30"/>
    <mergeCell ref="C31:F31"/>
  </mergeCells>
  <pageMargins left="0.7" right="0.7" top="0.75" bottom="0.75" header="0.3" footer="0.3"/>
  <pageSetup paperSize="9" scale="51" orientation="portrait" horizontalDpi="360" verticalDpi="360" r:id="rId1"/>
  <colBreaks count="1" manualBreakCount="1">
    <brk id="10" max="51" man="1"/>
  </colBreaks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SUBNETING</vt:lpstr>
      <vt:lpstr>ANDING</vt:lpstr>
      <vt:lpstr>PROBLEMA #1</vt:lpstr>
      <vt:lpstr>PROBLEMA #2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Jesus Mena Abarca</dc:creator>
  <cp:lastModifiedBy>Andres Jesus Mena Abarca</cp:lastModifiedBy>
  <dcterms:created xsi:type="dcterms:W3CDTF">2024-07-10T23:58:54Z</dcterms:created>
  <dcterms:modified xsi:type="dcterms:W3CDTF">2026-03-10T23:12:36Z</dcterms:modified>
</cp:coreProperties>
</file>